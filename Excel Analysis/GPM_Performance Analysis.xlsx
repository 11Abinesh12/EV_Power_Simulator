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binesh\Downloads\"/>
    </mc:Choice>
  </mc:AlternateContent>
  <xr:revisionPtr revIDLastSave="0" documentId="13_ncr:1_{97396C10-457E-45B9-90A9-8DE3F2C791EA}" xr6:coauthVersionLast="47" xr6:coauthVersionMax="47" xr10:uidLastSave="{00000000-0000-0000-0000-000000000000}"/>
  <bookViews>
    <workbookView xWindow="-120" yWindow="-120" windowWidth="29040" windowHeight="15720" activeTab="1" xr2:uid="{00000000-000D-0000-FFFF-FFFF00000000}"/>
  </bookViews>
  <sheets>
    <sheet name="EV Performance Analysis" sheetId="1" r:id="rId1"/>
    <sheet name="m-LEV4000-37Nm-2000W" sheetId="2" r:id="rId2"/>
    <sheet name="VehicleSimulation - LEV6000 (2)" sheetId="7" r:id="rId3"/>
  </sheets>
  <definedNames>
    <definedName name="AccSpeed">'EV Performance Analysis'!$F$8</definedName>
    <definedName name="AccTime">'EV Performance Analysis'!$G$8</definedName>
    <definedName name="Angle">'EV Performance Analysis'!$E$8</definedName>
    <definedName name="Area">'EV Performance Analysis'!$G$5</definedName>
    <definedName name="BatteryCrating">'EV Performance Analysis'!$G$34</definedName>
    <definedName name="BatteryVoltage">'EV Performance Analysis'!$G$31</definedName>
    <definedName name="BatWeight">'EV Performance Analysis'!$L$8</definedName>
    <definedName name="Cd">'EV Performance Analysis'!$D$5</definedName>
    <definedName name="ConstantCurrent">'EV Performance Analysis'!$G$36</definedName>
    <definedName name="ContSpeed">'EV Performance Analysis'!$O$5</definedName>
    <definedName name="ContWeight">'EV Performance Analysis'!$K$8</definedName>
    <definedName name="Cr">'EV Performance Analysis'!$E$5</definedName>
    <definedName name="Density">'EV Performance Analysis'!$F$5</definedName>
    <definedName name="DOD">'EV Performance Analysis'!$G$35</definedName>
    <definedName name="Fclimb">'EV Performance Analysis'!$G$13</definedName>
    <definedName name="Fdragcont">'EV Performance Analysis'!$D$13</definedName>
    <definedName name="Fdragslope">'EV Performance Analysis'!$E$13</definedName>
    <definedName name="Froll">'EV Performance Analysis'!$F$13</definedName>
    <definedName name="GearEfficency">'EV Performance Analysis'!$J$5</definedName>
    <definedName name="GearRatio">'EV Performance Analysis'!$I$5</definedName>
    <definedName name="Inertia">'EV Performance Analysis'!$N$5</definedName>
    <definedName name="KerbWeight">'EV Performance Analysis'!$L$5</definedName>
    <definedName name="LoadWeight">'EV Performance Analysis'!$M$5</definedName>
    <definedName name="MotorEfficiency">'EV Performance Analysis'!$K$5</definedName>
    <definedName name="PeukertCoeff">'EV Performance Analysis'!$G$33</definedName>
    <definedName name="Range">'EV Performance Analysis'!$I$8</definedName>
    <definedName name="SlopeSpeed">'EV Performance Analysis'!$D$8</definedName>
    <definedName name="VehicleWeight">'EV Performance Analysis'!$M$8</definedName>
    <definedName name="WheelRadius">'EV Performance Analysis'!$H$5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2" i="1" l="1"/>
  <c r="G2" i="2" l="1"/>
  <c r="S24" i="2"/>
  <c r="T18" i="2"/>
  <c r="AD9" i="1" l="1"/>
  <c r="AD10" i="1"/>
  <c r="AD8" i="1"/>
  <c r="T41" i="1"/>
  <c r="T40" i="1"/>
  <c r="T39" i="1"/>
  <c r="T8" i="1"/>
  <c r="T38" i="1"/>
  <c r="T37" i="1"/>
  <c r="T34" i="1"/>
  <c r="T9" i="7"/>
  <c r="T8" i="7"/>
  <c r="T4" i="7"/>
  <c r="F3" i="7"/>
  <c r="F4" i="7" s="1"/>
  <c r="E3" i="7"/>
  <c r="E4" i="7" s="1"/>
  <c r="E5" i="7" s="1"/>
  <c r="E6" i="7" s="1"/>
  <c r="E7" i="7" s="1"/>
  <c r="E8" i="7" s="1"/>
  <c r="E9" i="7" s="1"/>
  <c r="E10" i="7" s="1"/>
  <c r="E11" i="7" s="1"/>
  <c r="E12" i="7" s="1"/>
  <c r="E13" i="7" s="1"/>
  <c r="E14" i="7" s="1"/>
  <c r="E15" i="7" s="1"/>
  <c r="E16" i="7" s="1"/>
  <c r="E17" i="7" s="1"/>
  <c r="E18" i="7" s="1"/>
  <c r="E19" i="7" s="1"/>
  <c r="E20" i="7" s="1"/>
  <c r="E21" i="7" s="1"/>
  <c r="E22" i="7" s="1"/>
  <c r="E23" i="7" s="1"/>
  <c r="E24" i="7" s="1"/>
  <c r="E25" i="7" s="1"/>
  <c r="E26" i="7" s="1"/>
  <c r="E27" i="7" s="1"/>
  <c r="E28" i="7" s="1"/>
  <c r="E29" i="7" s="1"/>
  <c r="E30" i="7" s="1"/>
  <c r="E31" i="7" s="1"/>
  <c r="E32" i="7" s="1"/>
  <c r="E33" i="7" s="1"/>
  <c r="E34" i="7" s="1"/>
  <c r="E35" i="7" s="1"/>
  <c r="E36" i="7" s="1"/>
  <c r="E37" i="7" s="1"/>
  <c r="E38" i="7" s="1"/>
  <c r="E39" i="7" s="1"/>
  <c r="E40" i="7" s="1"/>
  <c r="E41" i="7" s="1"/>
  <c r="E42" i="7" s="1"/>
  <c r="E43" i="7" s="1"/>
  <c r="E44" i="7" s="1"/>
  <c r="E45" i="7" s="1"/>
  <c r="E46" i="7" s="1"/>
  <c r="E47" i="7" s="1"/>
  <c r="E48" i="7" s="1"/>
  <c r="E49" i="7" s="1"/>
  <c r="E50" i="7" s="1"/>
  <c r="E51" i="7" s="1"/>
  <c r="E52" i="7" s="1"/>
  <c r="E53" i="7" s="1"/>
  <c r="E54" i="7" s="1"/>
  <c r="E55" i="7" s="1"/>
  <c r="E56" i="7" s="1"/>
  <c r="E57" i="7" s="1"/>
  <c r="E58" i="7" s="1"/>
  <c r="E59" i="7" s="1"/>
  <c r="E60" i="7" s="1"/>
  <c r="E61" i="7" s="1"/>
  <c r="E62" i="7" s="1"/>
  <c r="E63" i="7" s="1"/>
  <c r="E64" i="7" s="1"/>
  <c r="E65" i="7" s="1"/>
  <c r="E66" i="7" s="1"/>
  <c r="E67" i="7" s="1"/>
  <c r="E68" i="7" s="1"/>
  <c r="E69" i="7" s="1"/>
  <c r="E70" i="7" s="1"/>
  <c r="E71" i="7" s="1"/>
  <c r="E72" i="7" s="1"/>
  <c r="E73" i="7" s="1"/>
  <c r="E74" i="7" s="1"/>
  <c r="E75" i="7" s="1"/>
  <c r="E76" i="7" s="1"/>
  <c r="E77" i="7" s="1"/>
  <c r="E78" i="7" s="1"/>
  <c r="E79" i="7" s="1"/>
  <c r="E80" i="7" s="1"/>
  <c r="E81" i="7" s="1"/>
  <c r="E82" i="7" s="1"/>
  <c r="E83" i="7" s="1"/>
  <c r="E84" i="7" s="1"/>
  <c r="E85" i="7" s="1"/>
  <c r="E86" i="7" s="1"/>
  <c r="E87" i="7" s="1"/>
  <c r="E88" i="7" s="1"/>
  <c r="E89" i="7" s="1"/>
  <c r="E90" i="7" s="1"/>
  <c r="E91" i="7" s="1"/>
  <c r="E92" i="7" s="1"/>
  <c r="E93" i="7" s="1"/>
  <c r="E94" i="7" s="1"/>
  <c r="E95" i="7" s="1"/>
  <c r="E96" i="7" s="1"/>
  <c r="E97" i="7" s="1"/>
  <c r="E98" i="7" s="1"/>
  <c r="E99" i="7" s="1"/>
  <c r="E100" i="7" s="1"/>
  <c r="E101" i="7" s="1"/>
  <c r="E102" i="7" s="1"/>
  <c r="E103" i="7" s="1"/>
  <c r="E104" i="7" s="1"/>
  <c r="E105" i="7" s="1"/>
  <c r="E106" i="7" s="1"/>
  <c r="E107" i="7" s="1"/>
  <c r="E108" i="7" s="1"/>
  <c r="E109" i="7" s="1"/>
  <c r="E110" i="7" s="1"/>
  <c r="E111" i="7" s="1"/>
  <c r="E112" i="7" s="1"/>
  <c r="E113" i="7" s="1"/>
  <c r="E114" i="7" s="1"/>
  <c r="E115" i="7" s="1"/>
  <c r="E116" i="7" s="1"/>
  <c r="E117" i="7" s="1"/>
  <c r="E118" i="7" s="1"/>
  <c r="E119" i="7" s="1"/>
  <c r="E120" i="7" s="1"/>
  <c r="E121" i="7" s="1"/>
  <c r="E122" i="7" s="1"/>
  <c r="E123" i="7" s="1"/>
  <c r="E124" i="7" s="1"/>
  <c r="E125" i="7" s="1"/>
  <c r="E126" i="7" s="1"/>
  <c r="E127" i="7" s="1"/>
  <c r="E128" i="7" s="1"/>
  <c r="E129" i="7" s="1"/>
  <c r="E130" i="7" s="1"/>
  <c r="E131" i="7" s="1"/>
  <c r="E132" i="7" s="1"/>
  <c r="E133" i="7" s="1"/>
  <c r="E134" i="7" s="1"/>
  <c r="E135" i="7" s="1"/>
  <c r="E136" i="7" s="1"/>
  <c r="E137" i="7" s="1"/>
  <c r="E138" i="7" s="1"/>
  <c r="E139" i="7" s="1"/>
  <c r="E140" i="7" s="1"/>
  <c r="E141" i="7" s="1"/>
  <c r="E142" i="7" s="1"/>
  <c r="E143" i="7" s="1"/>
  <c r="E144" i="7" s="1"/>
  <c r="E145" i="7" s="1"/>
  <c r="E146" i="7" s="1"/>
  <c r="E147" i="7" s="1"/>
  <c r="E148" i="7" s="1"/>
  <c r="E149" i="7" s="1"/>
  <c r="E150" i="7" s="1"/>
  <c r="E151" i="7" s="1"/>
  <c r="E152" i="7" s="1"/>
  <c r="E153" i="7" s="1"/>
  <c r="E154" i="7" s="1"/>
  <c r="E155" i="7" s="1"/>
  <c r="E156" i="7" s="1"/>
  <c r="E157" i="7" s="1"/>
  <c r="E158" i="7" s="1"/>
  <c r="E159" i="7" s="1"/>
  <c r="E160" i="7" s="1"/>
  <c r="E161" i="7" s="1"/>
  <c r="E162" i="7" s="1"/>
  <c r="E163" i="7" s="1"/>
  <c r="E164" i="7" s="1"/>
  <c r="E165" i="7" s="1"/>
  <c r="E166" i="7" s="1"/>
  <c r="E167" i="7" s="1"/>
  <c r="E168" i="7" s="1"/>
  <c r="E169" i="7" s="1"/>
  <c r="E170" i="7" s="1"/>
  <c r="E171" i="7" s="1"/>
  <c r="E172" i="7" s="1"/>
  <c r="E173" i="7" s="1"/>
  <c r="E174" i="7" s="1"/>
  <c r="E175" i="7" s="1"/>
  <c r="E176" i="7" s="1"/>
  <c r="E177" i="7" s="1"/>
  <c r="E178" i="7" s="1"/>
  <c r="E179" i="7" s="1"/>
  <c r="E180" i="7" s="1"/>
  <c r="E181" i="7" s="1"/>
  <c r="E182" i="7" s="1"/>
  <c r="C2" i="7"/>
  <c r="L2" i="7"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U13" i="2"/>
  <c r="E3" i="2"/>
  <c r="E4" i="2" s="1"/>
  <c r="F3" i="2"/>
  <c r="U4" i="2"/>
  <c r="F4" i="2" l="1"/>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 r="F68" i="2" s="1"/>
  <c r="F69" i="2" s="1"/>
  <c r="F70" i="2" s="1"/>
  <c r="F71" i="2" s="1"/>
  <c r="F72" i="2" s="1"/>
  <c r="F73" i="2" s="1"/>
  <c r="F74" i="2" s="1"/>
  <c r="F75" i="2" s="1"/>
  <c r="F76" i="2" s="1"/>
  <c r="F77" i="2" s="1"/>
  <c r="F78" i="2" s="1"/>
  <c r="F79" i="2" s="1"/>
  <c r="F80" i="2" s="1"/>
  <c r="F81" i="2" s="1"/>
  <c r="F82" i="2" s="1"/>
  <c r="F83" i="2" s="1"/>
  <c r="F84" i="2" s="1"/>
  <c r="F85" i="2" s="1"/>
  <c r="F86" i="2" s="1"/>
  <c r="F87" i="2" s="1"/>
  <c r="F88" i="2" s="1"/>
  <c r="F89" i="2" s="1"/>
  <c r="F90" i="2" s="1"/>
  <c r="F91" i="2" s="1"/>
  <c r="F92" i="2" s="1"/>
  <c r="F93" i="2" s="1"/>
  <c r="F94" i="2" s="1"/>
  <c r="F95" i="2" s="1"/>
  <c r="F96" i="2" s="1"/>
  <c r="F97" i="2" s="1"/>
  <c r="F98" i="2" s="1"/>
  <c r="F99" i="2" s="1"/>
  <c r="F100" i="2" s="1"/>
  <c r="F101" i="2" s="1"/>
  <c r="F102" i="2" s="1"/>
  <c r="F103" i="2" s="1"/>
  <c r="F104" i="2" s="1"/>
  <c r="F105" i="2" s="1"/>
  <c r="F106" i="2" s="1"/>
  <c r="F107" i="2" s="1"/>
  <c r="F108" i="2" s="1"/>
  <c r="F109" i="2" s="1"/>
  <c r="F110" i="2" s="1"/>
  <c r="F111" i="2" s="1"/>
  <c r="F112" i="2" s="1"/>
  <c r="F113" i="2" s="1"/>
  <c r="F114" i="2" s="1"/>
  <c r="F115" i="2" s="1"/>
  <c r="F116" i="2" s="1"/>
  <c r="F117" i="2" s="1"/>
  <c r="F118" i="2" s="1"/>
  <c r="F119" i="2" s="1"/>
  <c r="F120" i="2" s="1"/>
  <c r="F121" i="2" s="1"/>
  <c r="F122" i="2" s="1"/>
  <c r="F123" i="2" s="1"/>
  <c r="F124" i="2" s="1"/>
  <c r="F125" i="2" s="1"/>
  <c r="F5" i="7"/>
  <c r="D2" i="7"/>
  <c r="G2" i="7" s="1"/>
  <c r="E5" i="2"/>
  <c r="E6" i="2" s="1"/>
  <c r="E7" i="2" s="1"/>
  <c r="E8" i="2" s="1"/>
  <c r="E9" i="2" s="1"/>
  <c r="E10" i="2" s="1"/>
  <c r="E11" i="2" s="1"/>
  <c r="E12" i="2" s="1"/>
  <c r="E13" i="2" s="1"/>
  <c r="E14" i="2" s="1"/>
  <c r="E15" i="2" s="1"/>
  <c r="E16" i="2" s="1"/>
  <c r="E17" i="2" s="1"/>
  <c r="E18" i="2" s="1"/>
  <c r="E19" i="2" s="1"/>
  <c r="E20" i="2" s="1"/>
  <c r="E21" i="2" s="1"/>
  <c r="E22" i="2" s="1"/>
  <c r="E23" i="2" s="1"/>
  <c r="E24" i="2" s="1"/>
  <c r="E25" i="2" s="1"/>
  <c r="E26" i="2" s="1"/>
  <c r="E27" i="2" s="1"/>
  <c r="E28" i="2" s="1"/>
  <c r="E29" i="2" s="1"/>
  <c r="E30" i="2" s="1"/>
  <c r="E31" i="2" s="1"/>
  <c r="E32" i="2" s="1"/>
  <c r="E33" i="2" s="1"/>
  <c r="E34" i="2" s="1"/>
  <c r="E35" i="2" s="1"/>
  <c r="E36" i="2" s="1"/>
  <c r="E37" i="2" s="1"/>
  <c r="E38" i="2" s="1"/>
  <c r="E39" i="2" s="1"/>
  <c r="E40" i="2" s="1"/>
  <c r="E41" i="2" s="1"/>
  <c r="E42" i="2" s="1"/>
  <c r="E43" i="2" s="1"/>
  <c r="E44" i="2" s="1"/>
  <c r="E45" i="2" s="1"/>
  <c r="E46" i="2" s="1"/>
  <c r="E47" i="2" s="1"/>
  <c r="E48" i="2" s="1"/>
  <c r="E49" i="2" s="1"/>
  <c r="E50" i="2" s="1"/>
  <c r="E51" i="2" s="1"/>
  <c r="E52" i="2" s="1"/>
  <c r="E53" i="2" s="1"/>
  <c r="E54" i="2" s="1"/>
  <c r="E55" i="2" s="1"/>
  <c r="E56" i="2" s="1"/>
  <c r="E57" i="2" s="1"/>
  <c r="E58" i="2" s="1"/>
  <c r="E59" i="2" s="1"/>
  <c r="E60" i="2" s="1"/>
  <c r="E61" i="2" s="1"/>
  <c r="E62" i="2" s="1"/>
  <c r="E63" i="2" s="1"/>
  <c r="E64" i="2" s="1"/>
  <c r="E65" i="2" s="1"/>
  <c r="E66" i="2" s="1"/>
  <c r="E67" i="2" s="1"/>
  <c r="E68" i="2" s="1"/>
  <c r="E69" i="2" s="1"/>
  <c r="E70" i="2" s="1"/>
  <c r="E71" i="2" s="1"/>
  <c r="E72" i="2" s="1"/>
  <c r="E73" i="2" s="1"/>
  <c r="E74" i="2" s="1"/>
  <c r="E75" i="2" s="1"/>
  <c r="E76" i="2" s="1"/>
  <c r="E77" i="2" s="1"/>
  <c r="E78" i="2" s="1"/>
  <c r="E79" i="2" s="1"/>
  <c r="E80" i="2" s="1"/>
  <c r="E81" i="2" s="1"/>
  <c r="E82" i="2" s="1"/>
  <c r="E83" i="2" s="1"/>
  <c r="E84" i="2" s="1"/>
  <c r="E85" i="2" s="1"/>
  <c r="E86" i="2" s="1"/>
  <c r="E87" i="2" s="1"/>
  <c r="E88" i="2" s="1"/>
  <c r="E89" i="2" s="1"/>
  <c r="E90" i="2" s="1"/>
  <c r="E91" i="2" s="1"/>
  <c r="E92" i="2" s="1"/>
  <c r="E93" i="2" s="1"/>
  <c r="E94" i="2" s="1"/>
  <c r="E95" i="2" s="1"/>
  <c r="E96" i="2" s="1"/>
  <c r="E97" i="2" s="1"/>
  <c r="E98" i="2" s="1"/>
  <c r="E99" i="2" s="1"/>
  <c r="E100" i="2" s="1"/>
  <c r="E101" i="2" s="1"/>
  <c r="E102" i="2" s="1"/>
  <c r="E103" i="2" s="1"/>
  <c r="E104" i="2" s="1"/>
  <c r="E105" i="2" s="1"/>
  <c r="E106" i="2" s="1"/>
  <c r="E107" i="2" s="1"/>
  <c r="E108" i="2" s="1"/>
  <c r="E109" i="2" s="1"/>
  <c r="E110" i="2" s="1"/>
  <c r="E111" i="2" s="1"/>
  <c r="E112" i="2" s="1"/>
  <c r="E113" i="2" s="1"/>
  <c r="E114" i="2" s="1"/>
  <c r="E115" i="2" s="1"/>
  <c r="E116" i="2" s="1"/>
  <c r="E117" i="2" s="1"/>
  <c r="E118" i="2" s="1"/>
  <c r="E119" i="2" s="1"/>
  <c r="E120" i="2" s="1"/>
  <c r="E121" i="2" s="1"/>
  <c r="E122" i="2" s="1"/>
  <c r="E123" i="2" s="1"/>
  <c r="E124" i="2" s="1"/>
  <c r="E125" i="2" s="1"/>
  <c r="F47" i="1"/>
  <c r="K47" i="1" s="1"/>
  <c r="K50" i="1"/>
  <c r="I50" i="1"/>
  <c r="R52" i="1"/>
  <c r="K49" i="1"/>
  <c r="K48" i="1"/>
  <c r="H5" i="1"/>
  <c r="N29" i="1" s="1"/>
  <c r="I49" i="1"/>
  <c r="I48" i="1"/>
  <c r="I47" i="1"/>
  <c r="H17" i="1"/>
  <c r="H19" i="1" s="1"/>
  <c r="E13" i="1"/>
  <c r="D13" i="1"/>
  <c r="L5" i="1"/>
  <c r="J2" i="7" l="1"/>
  <c r="I2" i="7"/>
  <c r="M177" i="7"/>
  <c r="M171" i="7"/>
  <c r="M165" i="7"/>
  <c r="M159" i="7"/>
  <c r="M153" i="7"/>
  <c r="M147" i="7"/>
  <c r="M141" i="7"/>
  <c r="M135" i="7"/>
  <c r="M129" i="7"/>
  <c r="M123" i="7"/>
  <c r="M117" i="7"/>
  <c r="M111" i="7"/>
  <c r="M182" i="7"/>
  <c r="M176" i="7"/>
  <c r="M170" i="7"/>
  <c r="M164" i="7"/>
  <c r="M158" i="7"/>
  <c r="M152" i="7"/>
  <c r="M146" i="7"/>
  <c r="M140" i="7"/>
  <c r="M134" i="7"/>
  <c r="M128" i="7"/>
  <c r="M122" i="7"/>
  <c r="M116" i="7"/>
  <c r="M110" i="7"/>
  <c r="M181" i="7"/>
  <c r="M175" i="7"/>
  <c r="M169" i="7"/>
  <c r="M163" i="7"/>
  <c r="M157" i="7"/>
  <c r="M179" i="7"/>
  <c r="M173" i="7"/>
  <c r="M167" i="7"/>
  <c r="M161" i="7"/>
  <c r="M155" i="7"/>
  <c r="M143" i="7"/>
  <c r="M131" i="7"/>
  <c r="M107" i="7"/>
  <c r="M101" i="7"/>
  <c r="M95" i="7"/>
  <c r="M89" i="7"/>
  <c r="M83" i="7"/>
  <c r="M77" i="7"/>
  <c r="M71" i="7"/>
  <c r="M166" i="7"/>
  <c r="M168" i="7"/>
  <c r="M148" i="7"/>
  <c r="M136" i="7"/>
  <c r="M121" i="7"/>
  <c r="M106" i="7"/>
  <c r="M100" i="7"/>
  <c r="M94" i="7"/>
  <c r="M88" i="7"/>
  <c r="M151" i="7"/>
  <c r="M139" i="7"/>
  <c r="M127" i="7"/>
  <c r="M124" i="7"/>
  <c r="M115" i="7"/>
  <c r="M144" i="7"/>
  <c r="M132" i="7"/>
  <c r="M118" i="7"/>
  <c r="M105" i="7"/>
  <c r="M99" i="7"/>
  <c r="M178" i="7"/>
  <c r="M160" i="7"/>
  <c r="M119" i="7"/>
  <c r="M180" i="7"/>
  <c r="M150" i="7"/>
  <c r="M126" i="7"/>
  <c r="M120" i="7"/>
  <c r="M102" i="7"/>
  <c r="M76" i="7"/>
  <c r="M75" i="7"/>
  <c r="M74" i="7"/>
  <c r="M73" i="7"/>
  <c r="M72" i="7"/>
  <c r="M154" i="7"/>
  <c r="M114" i="7"/>
  <c r="M97" i="7"/>
  <c r="M84" i="7"/>
  <c r="M69" i="7"/>
  <c r="M63" i="7"/>
  <c r="M57" i="7"/>
  <c r="M51" i="7"/>
  <c r="M45" i="7"/>
  <c r="M39" i="7"/>
  <c r="M33" i="7"/>
  <c r="M172" i="7"/>
  <c r="M149" i="7"/>
  <c r="M125" i="7"/>
  <c r="M85" i="7"/>
  <c r="M68" i="7"/>
  <c r="M62" i="7"/>
  <c r="M56" i="7"/>
  <c r="M50" i="7"/>
  <c r="M44" i="7"/>
  <c r="M38" i="7"/>
  <c r="M142" i="7"/>
  <c r="M113" i="7"/>
  <c r="M103" i="7"/>
  <c r="M98" i="7"/>
  <c r="M78" i="7"/>
  <c r="M145" i="7"/>
  <c r="M90" i="7"/>
  <c r="M86" i="7"/>
  <c r="M79" i="7"/>
  <c r="M67" i="7"/>
  <c r="M61" i="7"/>
  <c r="M55" i="7"/>
  <c r="M49" i="7"/>
  <c r="M43" i="7"/>
  <c r="M138" i="7"/>
  <c r="M108" i="7"/>
  <c r="M80" i="7"/>
  <c r="M91" i="7"/>
  <c r="M87" i="7"/>
  <c r="M81" i="7"/>
  <c r="M66" i="7"/>
  <c r="M60" i="7"/>
  <c r="M54" i="7"/>
  <c r="M162" i="7"/>
  <c r="M112" i="7"/>
  <c r="M133" i="7"/>
  <c r="M93" i="7"/>
  <c r="M70" i="7"/>
  <c r="M64" i="7"/>
  <c r="M32" i="7"/>
  <c r="M26" i="7"/>
  <c r="M20" i="7"/>
  <c r="M14" i="7"/>
  <c r="M174" i="7"/>
  <c r="M52" i="7"/>
  <c r="M41" i="7"/>
  <c r="M3" i="7"/>
  <c r="M31" i="7"/>
  <c r="M25" i="7"/>
  <c r="M19" i="7"/>
  <c r="M13" i="7"/>
  <c r="M8" i="7"/>
  <c r="M96" i="7"/>
  <c r="M46" i="7"/>
  <c r="M2" i="7"/>
  <c r="M137" i="7"/>
  <c r="M104" i="7"/>
  <c r="M34" i="7"/>
  <c r="M30" i="7"/>
  <c r="M24" i="7"/>
  <c r="M18" i="7"/>
  <c r="M12" i="7"/>
  <c r="M7" i="7"/>
  <c r="M58" i="7"/>
  <c r="M42" i="7"/>
  <c r="M156" i="7"/>
  <c r="M53" i="7"/>
  <c r="M35" i="7"/>
  <c r="M29" i="7"/>
  <c r="M23" i="7"/>
  <c r="M17" i="7"/>
  <c r="M11" i="7"/>
  <c r="M6" i="7"/>
  <c r="M47" i="7"/>
  <c r="M92" i="7"/>
  <c r="M82" i="7"/>
  <c r="M36" i="7"/>
  <c r="M28" i="7"/>
  <c r="M22" i="7"/>
  <c r="M16" i="7"/>
  <c r="M10" i="7"/>
  <c r="M5" i="7"/>
  <c r="M109" i="7"/>
  <c r="M65" i="7"/>
  <c r="M59" i="7"/>
  <c r="M48" i="7"/>
  <c r="M9" i="7"/>
  <c r="M4" i="7"/>
  <c r="M21" i="7"/>
  <c r="M130" i="7"/>
  <c r="M37" i="7"/>
  <c r="M15" i="7"/>
  <c r="M40" i="7"/>
  <c r="M27" i="7"/>
  <c r="F6" i="7"/>
  <c r="N125" i="2"/>
  <c r="E126" i="2"/>
  <c r="N4" i="2"/>
  <c r="N124" i="2"/>
  <c r="N123" i="2"/>
  <c r="F126" i="2"/>
  <c r="H16" i="1"/>
  <c r="N5" i="2"/>
  <c r="N19" i="1"/>
  <c r="U8" i="2"/>
  <c r="U9" i="2"/>
  <c r="T29" i="1"/>
  <c r="T18" i="1"/>
  <c r="T17" i="1"/>
  <c r="T19" i="1"/>
  <c r="T27" i="1"/>
  <c r="F13" i="1"/>
  <c r="L25" i="2" s="1"/>
  <c r="N3" i="2"/>
  <c r="N2" i="2"/>
  <c r="G13" i="1"/>
  <c r="L56" i="2"/>
  <c r="L83" i="2"/>
  <c r="L54" i="2"/>
  <c r="L68" i="2"/>
  <c r="L58" i="2"/>
  <c r="L41" i="2"/>
  <c r="L53" i="2"/>
  <c r="L65" i="2"/>
  <c r="L89" i="2"/>
  <c r="L72" i="2"/>
  <c r="L6" i="2"/>
  <c r="L7" i="2"/>
  <c r="L31" i="2"/>
  <c r="L32" i="2"/>
  <c r="L92" i="2"/>
  <c r="L81" i="2"/>
  <c r="L71" i="2"/>
  <c r="L108" i="2"/>
  <c r="L10" i="2"/>
  <c r="L107" i="2"/>
  <c r="L12" i="2"/>
  <c r="N6" i="2"/>
  <c r="J48" i="1"/>
  <c r="J49" i="1"/>
  <c r="L50" i="1"/>
  <c r="J47" i="1"/>
  <c r="J50" i="1"/>
  <c r="L47" i="1"/>
  <c r="L48" i="1"/>
  <c r="L49" i="1"/>
  <c r="N17" i="1"/>
  <c r="N27" i="1"/>
  <c r="N18" i="1"/>
  <c r="H8" i="1"/>
  <c r="L109" i="2" l="1"/>
  <c r="L33" i="2"/>
  <c r="L28" i="2"/>
  <c r="L4" i="2"/>
  <c r="L48" i="2"/>
  <c r="L87" i="2"/>
  <c r="L38" i="2"/>
  <c r="T36" i="1"/>
  <c r="T35" i="1"/>
  <c r="L99" i="2"/>
  <c r="L75" i="2"/>
  <c r="L35" i="2"/>
  <c r="L9" i="2"/>
  <c r="L114" i="2"/>
  <c r="L62" i="2"/>
  <c r="L26" i="2"/>
  <c r="L14" i="2"/>
  <c r="T5" i="1"/>
  <c r="U5" i="1" s="1"/>
  <c r="T33" i="1"/>
  <c r="L3" i="2"/>
  <c r="L104" i="2"/>
  <c r="L121" i="2"/>
  <c r="L13" i="2"/>
  <c r="L60" i="2"/>
  <c r="L22" i="2"/>
  <c r="L19" i="2"/>
  <c r="L77" i="2"/>
  <c r="L105" i="2"/>
  <c r="L16" i="2"/>
  <c r="L111" i="2"/>
  <c r="L70" i="2"/>
  <c r="L50" i="2"/>
  <c r="L78" i="2"/>
  <c r="O13" i="1"/>
  <c r="U19" i="1" s="1"/>
  <c r="L30" i="2"/>
  <c r="L11" i="2"/>
  <c r="L115" i="2"/>
  <c r="L23" i="2"/>
  <c r="L29" i="2"/>
  <c r="L112" i="2"/>
  <c r="L2" i="2"/>
  <c r="L63" i="2"/>
  <c r="L90" i="2"/>
  <c r="L84" i="2"/>
  <c r="L97" i="2"/>
  <c r="L85" i="2"/>
  <c r="L82" i="2"/>
  <c r="L17" i="2"/>
  <c r="L119" i="2"/>
  <c r="L57" i="2"/>
  <c r="L91" i="2"/>
  <c r="L69" i="2"/>
  <c r="L5" i="2"/>
  <c r="L88" i="2"/>
  <c r="L117" i="2"/>
  <c r="L39" i="2"/>
  <c r="L122" i="2"/>
  <c r="L47" i="2"/>
  <c r="L73" i="2"/>
  <c r="L34" i="2"/>
  <c r="L66" i="2"/>
  <c r="L44" i="2"/>
  <c r="L79" i="2"/>
  <c r="L80" i="2"/>
  <c r="L96" i="2"/>
  <c r="L76" i="2"/>
  <c r="L45" i="2"/>
  <c r="L27" i="2"/>
  <c r="L110" i="2"/>
  <c r="L118" i="2"/>
  <c r="L61" i="2"/>
  <c r="L103" i="2"/>
  <c r="L51" i="2"/>
  <c r="L20" i="2"/>
  <c r="L67" i="2"/>
  <c r="L42" i="2"/>
  <c r="L95" i="2"/>
  <c r="L64" i="2"/>
  <c r="L116" i="2"/>
  <c r="L15" i="2"/>
  <c r="L98" i="2"/>
  <c r="L46" i="2"/>
  <c r="L49" i="2"/>
  <c r="L94" i="2"/>
  <c r="L8" i="2"/>
  <c r="L55" i="2"/>
  <c r="L113" i="2"/>
  <c r="L59" i="2"/>
  <c r="L52" i="2"/>
  <c r="L102" i="2"/>
  <c r="L120" i="2"/>
  <c r="L86" i="2"/>
  <c r="L93" i="2"/>
  <c r="L37" i="2"/>
  <c r="L100" i="2"/>
  <c r="O12" i="1"/>
  <c r="H24" i="1"/>
  <c r="L24" i="2"/>
  <c r="L43" i="2"/>
  <c r="L101" i="2"/>
  <c r="L106" i="2"/>
  <c r="L40" i="2"/>
  <c r="L18" i="2"/>
  <c r="L36" i="2"/>
  <c r="L74" i="2"/>
  <c r="L21" i="2"/>
  <c r="F7" i="7"/>
  <c r="K178" i="7"/>
  <c r="K172" i="7"/>
  <c r="K166" i="7"/>
  <c r="K160" i="7"/>
  <c r="K154" i="7"/>
  <c r="K148" i="7"/>
  <c r="K142" i="7"/>
  <c r="K136" i="7"/>
  <c r="K130" i="7"/>
  <c r="K124" i="7"/>
  <c r="K118" i="7"/>
  <c r="K112" i="7"/>
  <c r="K177" i="7"/>
  <c r="K171" i="7"/>
  <c r="K165" i="7"/>
  <c r="K159" i="7"/>
  <c r="K153" i="7"/>
  <c r="K147" i="7"/>
  <c r="K141" i="7"/>
  <c r="K135" i="7"/>
  <c r="K129" i="7"/>
  <c r="K123" i="7"/>
  <c r="K117" i="7"/>
  <c r="K111" i="7"/>
  <c r="K182" i="7"/>
  <c r="K176" i="7"/>
  <c r="K170" i="7"/>
  <c r="K164" i="7"/>
  <c r="K158" i="7"/>
  <c r="K180" i="7"/>
  <c r="K174" i="7"/>
  <c r="K168" i="7"/>
  <c r="K162" i="7"/>
  <c r="K156" i="7"/>
  <c r="K150" i="7"/>
  <c r="K138" i="7"/>
  <c r="K126" i="7"/>
  <c r="K120" i="7"/>
  <c r="K108" i="7"/>
  <c r="K102" i="7"/>
  <c r="K96" i="7"/>
  <c r="K90" i="7"/>
  <c r="K84" i="7"/>
  <c r="K78" i="7"/>
  <c r="K72" i="7"/>
  <c r="K179" i="7"/>
  <c r="K161" i="7"/>
  <c r="K114" i="7"/>
  <c r="K181" i="7"/>
  <c r="K163" i="7"/>
  <c r="K143" i="7"/>
  <c r="K131" i="7"/>
  <c r="K107" i="7"/>
  <c r="K101" i="7"/>
  <c r="K95" i="7"/>
  <c r="K89" i="7"/>
  <c r="K146" i="7"/>
  <c r="K134" i="7"/>
  <c r="K121" i="7"/>
  <c r="K151" i="7"/>
  <c r="K139" i="7"/>
  <c r="K127" i="7"/>
  <c r="K115" i="7"/>
  <c r="K106" i="7"/>
  <c r="K100" i="7"/>
  <c r="K173" i="7"/>
  <c r="K155" i="7"/>
  <c r="K122" i="7"/>
  <c r="K167" i="7"/>
  <c r="K133" i="7"/>
  <c r="K109" i="7"/>
  <c r="K83" i="7"/>
  <c r="K71" i="7"/>
  <c r="K93" i="7"/>
  <c r="K70" i="7"/>
  <c r="K64" i="7"/>
  <c r="K58" i="7"/>
  <c r="K52" i="7"/>
  <c r="K46" i="7"/>
  <c r="K40" i="7"/>
  <c r="K34" i="7"/>
  <c r="K76" i="7"/>
  <c r="K75" i="7"/>
  <c r="K74" i="7"/>
  <c r="K73" i="7"/>
  <c r="K132" i="7"/>
  <c r="K105" i="7"/>
  <c r="K97" i="7"/>
  <c r="K94" i="7"/>
  <c r="K77" i="7"/>
  <c r="K69" i="7"/>
  <c r="K63" i="7"/>
  <c r="K57" i="7"/>
  <c r="K51" i="7"/>
  <c r="K45" i="7"/>
  <c r="K39" i="7"/>
  <c r="K33" i="7"/>
  <c r="K149" i="7"/>
  <c r="K125" i="7"/>
  <c r="K116" i="7"/>
  <c r="K128" i="7"/>
  <c r="K119" i="7"/>
  <c r="K110" i="7"/>
  <c r="K85" i="7"/>
  <c r="K68" i="7"/>
  <c r="K62" i="7"/>
  <c r="K56" i="7"/>
  <c r="K50" i="7"/>
  <c r="K44" i="7"/>
  <c r="K157" i="7"/>
  <c r="K152" i="7"/>
  <c r="K145" i="7"/>
  <c r="K113" i="7"/>
  <c r="K103" i="7"/>
  <c r="K98" i="7"/>
  <c r="K86" i="7"/>
  <c r="K79" i="7"/>
  <c r="K67" i="7"/>
  <c r="K61" i="7"/>
  <c r="K55" i="7"/>
  <c r="K49" i="7"/>
  <c r="K175" i="7"/>
  <c r="K169" i="7"/>
  <c r="K140" i="7"/>
  <c r="K92" i="7"/>
  <c r="K88" i="7"/>
  <c r="K65" i="7"/>
  <c r="K144" i="7"/>
  <c r="K37" i="7"/>
  <c r="K27" i="7"/>
  <c r="K21" i="7"/>
  <c r="K15" i="7"/>
  <c r="K80" i="7"/>
  <c r="K59" i="7"/>
  <c r="K54" i="7"/>
  <c r="K48" i="7"/>
  <c r="K9" i="7"/>
  <c r="K4" i="7"/>
  <c r="K38" i="7"/>
  <c r="K32" i="7"/>
  <c r="K26" i="7"/>
  <c r="K20" i="7"/>
  <c r="K14" i="7"/>
  <c r="K41" i="7"/>
  <c r="K3" i="7"/>
  <c r="K31" i="7"/>
  <c r="K25" i="7"/>
  <c r="K19" i="7"/>
  <c r="K13" i="7"/>
  <c r="K8" i="7"/>
  <c r="K137" i="7"/>
  <c r="K104" i="7"/>
  <c r="K2" i="7"/>
  <c r="N2" i="7" s="1"/>
  <c r="O2" i="7" s="1"/>
  <c r="P2" i="7" s="1"/>
  <c r="B3" i="7" s="1"/>
  <c r="K30" i="7"/>
  <c r="K24" i="7"/>
  <c r="K18" i="7"/>
  <c r="K12" i="7"/>
  <c r="K7" i="7"/>
  <c r="K60" i="7"/>
  <c r="K42" i="7"/>
  <c r="K87" i="7"/>
  <c r="K66" i="7"/>
  <c r="K53" i="7"/>
  <c r="K35" i="7"/>
  <c r="K29" i="7"/>
  <c r="K23" i="7"/>
  <c r="K17" i="7"/>
  <c r="K11" i="7"/>
  <c r="K6" i="7"/>
  <c r="K82" i="7"/>
  <c r="K91" i="7"/>
  <c r="K81" i="7"/>
  <c r="K43" i="7"/>
  <c r="K16" i="7"/>
  <c r="K28" i="7"/>
  <c r="K47" i="7"/>
  <c r="K10" i="7"/>
  <c r="K5" i="7"/>
  <c r="K99" i="7"/>
  <c r="K36" i="7"/>
  <c r="K22" i="7"/>
  <c r="U12" i="1"/>
  <c r="L158" i="2"/>
  <c r="L170" i="2"/>
  <c r="L124" i="2"/>
  <c r="L132" i="2"/>
  <c r="L144" i="2"/>
  <c r="L181" i="2"/>
  <c r="L174" i="2"/>
  <c r="L159" i="2"/>
  <c r="L171" i="2"/>
  <c r="L133" i="2"/>
  <c r="L145" i="2"/>
  <c r="L148" i="2"/>
  <c r="L163" i="2"/>
  <c r="L149" i="2"/>
  <c r="L180" i="2"/>
  <c r="L153" i="2"/>
  <c r="L160" i="2"/>
  <c r="L134" i="2"/>
  <c r="L146" i="2"/>
  <c r="L161" i="2"/>
  <c r="L125" i="2"/>
  <c r="L135" i="2"/>
  <c r="L176" i="2"/>
  <c r="L136" i="2"/>
  <c r="L126" i="2"/>
  <c r="L157" i="2"/>
  <c r="L182" i="2"/>
  <c r="L175" i="2"/>
  <c r="L154" i="2"/>
  <c r="L147" i="2"/>
  <c r="L162" i="2"/>
  <c r="L137" i="2"/>
  <c r="L131" i="2"/>
  <c r="L169" i="2"/>
  <c r="L177" i="2"/>
  <c r="L178" i="2"/>
  <c r="L155" i="2"/>
  <c r="L164" i="2"/>
  <c r="L123" i="2"/>
  <c r="L138" i="2"/>
  <c r="L150" i="2"/>
  <c r="L151" i="2"/>
  <c r="L166" i="2"/>
  <c r="L128" i="2"/>
  <c r="L152" i="2"/>
  <c r="L130" i="2"/>
  <c r="L172" i="2"/>
  <c r="L179" i="2"/>
  <c r="L165" i="2"/>
  <c r="L127" i="2"/>
  <c r="L139" i="2"/>
  <c r="L140" i="2"/>
  <c r="L168" i="2"/>
  <c r="L143" i="2"/>
  <c r="L142" i="2"/>
  <c r="L156" i="2"/>
  <c r="L167" i="2"/>
  <c r="L129" i="2"/>
  <c r="L141" i="2"/>
  <c r="L173" i="2"/>
  <c r="N126" i="2"/>
  <c r="E127" i="2"/>
  <c r="F127" i="2"/>
  <c r="U13" i="1"/>
  <c r="U24" i="1" s="1"/>
  <c r="U17" i="1"/>
  <c r="U22" i="1"/>
  <c r="N50" i="1"/>
  <c r="N7" i="2"/>
  <c r="M48" i="1"/>
  <c r="O48" i="1" s="1"/>
  <c r="N47" i="1"/>
  <c r="N48" i="1"/>
  <c r="M50" i="1"/>
  <c r="M47" i="1"/>
  <c r="P47" i="1" s="1"/>
  <c r="Q47" i="1" s="1"/>
  <c r="M49" i="1"/>
  <c r="N49" i="1"/>
  <c r="G36" i="1"/>
  <c r="G37" i="1"/>
  <c r="G38" i="1" s="1"/>
  <c r="H25" i="1"/>
  <c r="O17" i="1"/>
  <c r="O22" i="1"/>
  <c r="H20" i="1"/>
  <c r="H18" i="1"/>
  <c r="O24" i="1" l="1"/>
  <c r="O19" i="1"/>
  <c r="C3" i="7"/>
  <c r="F8" i="7"/>
  <c r="E128" i="2"/>
  <c r="N127" i="2"/>
  <c r="F128" i="2"/>
  <c r="O29" i="1"/>
  <c r="U29" i="1"/>
  <c r="O27" i="1"/>
  <c r="U27" i="1"/>
  <c r="O47" i="1"/>
  <c r="N8" i="2"/>
  <c r="P48" i="1"/>
  <c r="Q48" i="1" s="1"/>
  <c r="R48" i="1" s="1"/>
  <c r="O50" i="1"/>
  <c r="P50" i="1"/>
  <c r="Q50" i="1" s="1"/>
  <c r="R50" i="1" s="1"/>
  <c r="P49" i="1"/>
  <c r="Q49" i="1" s="1"/>
  <c r="R49" i="1" s="1"/>
  <c r="O49" i="1"/>
  <c r="G39" i="1"/>
  <c r="G40" i="1" s="1"/>
  <c r="G41" i="1" s="1"/>
  <c r="R47" i="1"/>
  <c r="O14" i="1"/>
  <c r="H21" i="1"/>
  <c r="H26" i="1" s="1"/>
  <c r="F9" i="7" l="1"/>
  <c r="L3" i="7"/>
  <c r="N3" i="7" s="1"/>
  <c r="D3" i="7"/>
  <c r="G3" i="7" s="1"/>
  <c r="E129" i="2"/>
  <c r="N128" i="2"/>
  <c r="F129" i="2"/>
  <c r="U23" i="1"/>
  <c r="U18" i="1"/>
  <c r="N9" i="2"/>
  <c r="R51" i="1"/>
  <c r="O18" i="1"/>
  <c r="U14" i="1" s="1"/>
  <c r="O23" i="1"/>
  <c r="J3" i="7" l="1"/>
  <c r="O3" i="7" s="1"/>
  <c r="P3" i="7" s="1"/>
  <c r="B4" i="7" s="1"/>
  <c r="I3" i="7"/>
  <c r="F10" i="7"/>
  <c r="E130" i="2"/>
  <c r="N129" i="2"/>
  <c r="F130" i="2"/>
  <c r="N10" i="2"/>
  <c r="F11" i="7" l="1"/>
  <c r="C4" i="7"/>
  <c r="N130" i="2"/>
  <c r="E131" i="2"/>
  <c r="F131" i="2"/>
  <c r="N11" i="2"/>
  <c r="L4" i="7" l="1"/>
  <c r="N4" i="7" s="1"/>
  <c r="D4" i="7"/>
  <c r="G4" i="7" s="1"/>
  <c r="F12" i="7"/>
  <c r="N131" i="2"/>
  <c r="E132" i="2"/>
  <c r="F132" i="2"/>
  <c r="N12" i="2"/>
  <c r="F13" i="7" l="1"/>
  <c r="J4" i="7"/>
  <c r="O4" i="7" s="1"/>
  <c r="P4" i="7" s="1"/>
  <c r="B5" i="7" s="1"/>
  <c r="I4" i="7"/>
  <c r="N132" i="2"/>
  <c r="E133" i="2"/>
  <c r="F133" i="2"/>
  <c r="N13" i="2"/>
  <c r="C5" i="7" l="1"/>
  <c r="F14" i="7"/>
  <c r="N133" i="2"/>
  <c r="E134" i="2"/>
  <c r="F134" i="2"/>
  <c r="N14" i="2"/>
  <c r="F15" i="7" l="1"/>
  <c r="D5" i="7"/>
  <c r="G5" i="7" s="1"/>
  <c r="L5" i="7"/>
  <c r="N5" i="7" s="1"/>
  <c r="E135" i="2"/>
  <c r="N134" i="2"/>
  <c r="F135" i="2"/>
  <c r="N15" i="2"/>
  <c r="I5" i="7" l="1"/>
  <c r="J5" i="7"/>
  <c r="O5" i="7" s="1"/>
  <c r="P5" i="7" s="1"/>
  <c r="B6" i="7" s="1"/>
  <c r="F16" i="7"/>
  <c r="N135" i="2"/>
  <c r="E136" i="2"/>
  <c r="F136" i="2"/>
  <c r="N16" i="2"/>
  <c r="F17" i="7" l="1"/>
  <c r="C6" i="7"/>
  <c r="N136" i="2"/>
  <c r="E137" i="2"/>
  <c r="F137" i="2"/>
  <c r="N17" i="2"/>
  <c r="C2" i="2"/>
  <c r="D2" i="2" s="1"/>
  <c r="M2" i="2" l="1"/>
  <c r="O2" i="2" s="1"/>
  <c r="I2" i="2"/>
  <c r="J2" i="2" s="1"/>
  <c r="D6" i="7"/>
  <c r="G6" i="7" s="1"/>
  <c r="L6" i="7"/>
  <c r="N6" i="7" s="1"/>
  <c r="F18" i="7"/>
  <c r="N137" i="2"/>
  <c r="E138" i="2"/>
  <c r="F138" i="2"/>
  <c r="N18" i="2"/>
  <c r="F19" i="7" l="1"/>
  <c r="J6" i="7"/>
  <c r="O6" i="7" s="1"/>
  <c r="P6" i="7" s="1"/>
  <c r="B7" i="7" s="1"/>
  <c r="I6" i="7"/>
  <c r="E139" i="2"/>
  <c r="N138" i="2"/>
  <c r="F139" i="2"/>
  <c r="K2" i="2"/>
  <c r="P2" i="2" s="1"/>
  <c r="Q2" i="2" s="1"/>
  <c r="B3" i="2" s="1"/>
  <c r="C3" i="2" s="1"/>
  <c r="M3" i="2" s="1"/>
  <c r="O3" i="2" s="1"/>
  <c r="N19" i="2"/>
  <c r="C7" i="7" l="1"/>
  <c r="F20" i="7"/>
  <c r="E140" i="2"/>
  <c r="N139" i="2"/>
  <c r="F140" i="2"/>
  <c r="D3" i="2"/>
  <c r="G3" i="2" s="1"/>
  <c r="N20" i="2"/>
  <c r="I3" i="2" l="1"/>
  <c r="J3" i="2" s="1"/>
  <c r="F21" i="7"/>
  <c r="D7" i="7"/>
  <c r="G7" i="7" s="1"/>
  <c r="L7" i="7"/>
  <c r="N7" i="7" s="1"/>
  <c r="E141" i="2"/>
  <c r="N140" i="2"/>
  <c r="F141" i="2"/>
  <c r="N21" i="2"/>
  <c r="J7" i="7" l="1"/>
  <c r="O7" i="7" s="1"/>
  <c r="P7" i="7" s="1"/>
  <c r="B8" i="7" s="1"/>
  <c r="I7" i="7"/>
  <c r="F22" i="7"/>
  <c r="N141" i="2"/>
  <c r="E142" i="2"/>
  <c r="F142" i="2"/>
  <c r="K3" i="2"/>
  <c r="P3" i="2" s="1"/>
  <c r="Q3" i="2" s="1"/>
  <c r="B4" i="2" s="1"/>
  <c r="C4" i="2" s="1"/>
  <c r="M4" i="2" s="1"/>
  <c r="O4" i="2" s="1"/>
  <c r="N22" i="2"/>
  <c r="F23" i="7" l="1"/>
  <c r="C8" i="7"/>
  <c r="E143" i="2"/>
  <c r="N142" i="2"/>
  <c r="D4" i="2"/>
  <c r="G4" i="2" s="1"/>
  <c r="F143" i="2"/>
  <c r="N23" i="2"/>
  <c r="I4" i="2" l="1"/>
  <c r="J4" i="2" s="1"/>
  <c r="L8" i="7"/>
  <c r="N8" i="7" s="1"/>
  <c r="D8" i="7"/>
  <c r="G8" i="7" s="1"/>
  <c r="F24" i="7"/>
  <c r="K4" i="2"/>
  <c r="P4" i="2" s="1"/>
  <c r="Q4" i="2" s="1"/>
  <c r="B5" i="2" s="1"/>
  <c r="C5" i="2" s="1"/>
  <c r="D5" i="2" s="1"/>
  <c r="G5" i="2" s="1"/>
  <c r="E144" i="2"/>
  <c r="N143" i="2"/>
  <c r="F144" i="2"/>
  <c r="N24" i="2"/>
  <c r="I5" i="2" l="1"/>
  <c r="J5" i="2"/>
  <c r="F25" i="7"/>
  <c r="J8" i="7"/>
  <c r="O8" i="7" s="1"/>
  <c r="P8" i="7" s="1"/>
  <c r="B9" i="7" s="1"/>
  <c r="I8" i="7"/>
  <c r="M5" i="2"/>
  <c r="O5" i="2" s="1"/>
  <c r="E145" i="2"/>
  <c r="N144" i="2"/>
  <c r="F145" i="2"/>
  <c r="N25" i="2"/>
  <c r="C9" i="7" l="1"/>
  <c r="F26" i="7"/>
  <c r="N145" i="2"/>
  <c r="E146" i="2"/>
  <c r="F146" i="2"/>
  <c r="K5" i="2"/>
  <c r="P5" i="2" s="1"/>
  <c r="Q5" i="2" s="1"/>
  <c r="B6" i="2" s="1"/>
  <c r="C6" i="2" s="1"/>
  <c r="D6" i="2" s="1"/>
  <c r="G6" i="2" s="1"/>
  <c r="N26" i="2"/>
  <c r="I6" i="2" l="1"/>
  <c r="J6" i="2" s="1"/>
  <c r="F27" i="7"/>
  <c r="L9" i="7"/>
  <c r="N9" i="7" s="1"/>
  <c r="D9" i="7"/>
  <c r="G9" i="7" s="1"/>
  <c r="M6" i="2"/>
  <c r="O6" i="2" s="1"/>
  <c r="E147" i="2"/>
  <c r="N146" i="2"/>
  <c r="F147" i="2"/>
  <c r="N27" i="2"/>
  <c r="J9" i="7" l="1"/>
  <c r="O9" i="7" s="1"/>
  <c r="P9" i="7" s="1"/>
  <c r="B10" i="7" s="1"/>
  <c r="I9" i="7"/>
  <c r="F28" i="7"/>
  <c r="E148" i="2"/>
  <c r="N147" i="2"/>
  <c r="F148" i="2"/>
  <c r="K6" i="2"/>
  <c r="P6" i="2" s="1"/>
  <c r="Q6" i="2" s="1"/>
  <c r="B7" i="2" s="1"/>
  <c r="C7" i="2" s="1"/>
  <c r="D7" i="2" s="1"/>
  <c r="G7" i="2" s="1"/>
  <c r="N28" i="2"/>
  <c r="I7" i="2" l="1"/>
  <c r="J7" i="2" s="1"/>
  <c r="F29" i="7"/>
  <c r="C10" i="7"/>
  <c r="N148" i="2"/>
  <c r="E149" i="2"/>
  <c r="F149" i="2"/>
  <c r="M7" i="2"/>
  <c r="O7" i="2" s="1"/>
  <c r="N29" i="2"/>
  <c r="D10" i="7" l="1"/>
  <c r="G10" i="7" s="1"/>
  <c r="L10" i="7"/>
  <c r="N10" i="7" s="1"/>
  <c r="F30" i="7"/>
  <c r="K7" i="2"/>
  <c r="P7" i="2" s="1"/>
  <c r="Q7" i="2" s="1"/>
  <c r="B8" i="2" s="1"/>
  <c r="C8" i="2" s="1"/>
  <c r="N149" i="2"/>
  <c r="E150" i="2"/>
  <c r="F150" i="2"/>
  <c r="N30" i="2"/>
  <c r="F31" i="7" l="1"/>
  <c r="I10" i="7"/>
  <c r="J10" i="7"/>
  <c r="O10" i="7" s="1"/>
  <c r="P10" i="7" s="1"/>
  <c r="B11" i="7" s="1"/>
  <c r="D8" i="2"/>
  <c r="G8" i="2" s="1"/>
  <c r="M8" i="2"/>
  <c r="O8" i="2" s="1"/>
  <c r="N150" i="2"/>
  <c r="E151" i="2"/>
  <c r="F151" i="2"/>
  <c r="N31" i="2"/>
  <c r="I8" i="2" l="1"/>
  <c r="J8" i="2"/>
  <c r="C11" i="7"/>
  <c r="F32" i="7"/>
  <c r="N151" i="2"/>
  <c r="E152" i="2"/>
  <c r="K8" i="2"/>
  <c r="P8" i="2" s="1"/>
  <c r="Q8" i="2" s="1"/>
  <c r="B9" i="2" s="1"/>
  <c r="C9" i="2" s="1"/>
  <c r="D9" i="2" s="1"/>
  <c r="G9" i="2" s="1"/>
  <c r="F152" i="2"/>
  <c r="F153" i="2" s="1"/>
  <c r="F154" i="2" s="1"/>
  <c r="F155" i="2" s="1"/>
  <c r="F156" i="2" s="1"/>
  <c r="F157" i="2" s="1"/>
  <c r="F158" i="2" s="1"/>
  <c r="F159" i="2" s="1"/>
  <c r="F160" i="2" s="1"/>
  <c r="F161" i="2" s="1"/>
  <c r="F162" i="2" s="1"/>
  <c r="F163" i="2" s="1"/>
  <c r="F164" i="2" s="1"/>
  <c r="F165" i="2" s="1"/>
  <c r="F166" i="2" s="1"/>
  <c r="F167" i="2" s="1"/>
  <c r="F168" i="2" s="1"/>
  <c r="F169" i="2" s="1"/>
  <c r="F170" i="2" s="1"/>
  <c r="F171" i="2" s="1"/>
  <c r="F172" i="2" s="1"/>
  <c r="F173" i="2" s="1"/>
  <c r="F174" i="2" s="1"/>
  <c r="F175" i="2" s="1"/>
  <c r="F176" i="2" s="1"/>
  <c r="F177" i="2" s="1"/>
  <c r="F178" i="2" s="1"/>
  <c r="F179" i="2" s="1"/>
  <c r="F180" i="2" s="1"/>
  <c r="F181" i="2" s="1"/>
  <c r="F182" i="2" s="1"/>
  <c r="N32" i="2"/>
  <c r="I9" i="2" l="1"/>
  <c r="J9" i="2" s="1"/>
  <c r="D11" i="7"/>
  <c r="G11" i="7" s="1"/>
  <c r="L11" i="7"/>
  <c r="N11" i="7" s="1"/>
  <c r="F33" i="7"/>
  <c r="N152" i="2"/>
  <c r="E153" i="2"/>
  <c r="M9" i="2"/>
  <c r="O9" i="2" s="1"/>
  <c r="N33" i="2"/>
  <c r="F34" i="7" l="1"/>
  <c r="I11" i="7"/>
  <c r="J11" i="7"/>
  <c r="O11" i="7" s="1"/>
  <c r="P11" i="7" s="1"/>
  <c r="B12" i="7" s="1"/>
  <c r="E154" i="2"/>
  <c r="N153" i="2"/>
  <c r="K9" i="2"/>
  <c r="P9" i="2" s="1"/>
  <c r="Q9" i="2" s="1"/>
  <c r="B10" i="2" s="1"/>
  <c r="C10" i="2" s="1"/>
  <c r="D10" i="2" s="1"/>
  <c r="G10" i="2" s="1"/>
  <c r="N34" i="2"/>
  <c r="I10" i="2" l="1"/>
  <c r="J10" i="2" s="1"/>
  <c r="F35" i="7"/>
  <c r="C12" i="7"/>
  <c r="M10" i="2"/>
  <c r="O10" i="2" s="1"/>
  <c r="N154" i="2"/>
  <c r="E155" i="2"/>
  <c r="N35" i="2"/>
  <c r="D12" i="7" l="1"/>
  <c r="G12" i="7" s="1"/>
  <c r="L12" i="7"/>
  <c r="N12" i="7" s="1"/>
  <c r="F36" i="7"/>
  <c r="N155" i="2"/>
  <c r="E156" i="2"/>
  <c r="K10" i="2"/>
  <c r="P10" i="2" s="1"/>
  <c r="Q10" i="2" s="1"/>
  <c r="B11" i="2" s="1"/>
  <c r="C11" i="2" s="1"/>
  <c r="D11" i="2" s="1"/>
  <c r="G11" i="2" s="1"/>
  <c r="N36" i="2"/>
  <c r="I11" i="2" l="1"/>
  <c r="J11" i="2"/>
  <c r="F37" i="7"/>
  <c r="J12" i="7"/>
  <c r="O12" i="7" s="1"/>
  <c r="P12" i="7" s="1"/>
  <c r="B13" i="7" s="1"/>
  <c r="I12" i="7"/>
  <c r="N156" i="2"/>
  <c r="E157" i="2"/>
  <c r="M11" i="2"/>
  <c r="O11" i="2" s="1"/>
  <c r="N37" i="2"/>
  <c r="C13" i="7" l="1"/>
  <c r="F38" i="7"/>
  <c r="K11" i="2"/>
  <c r="P11" i="2" s="1"/>
  <c r="Q11" i="2" s="1"/>
  <c r="B12" i="2" s="1"/>
  <c r="C12" i="2" s="1"/>
  <c r="D12" i="2" s="1"/>
  <c r="G12" i="2" s="1"/>
  <c r="E158" i="2"/>
  <c r="N157" i="2"/>
  <c r="N38" i="2"/>
  <c r="I12" i="2" l="1"/>
  <c r="J12" i="2" s="1"/>
  <c r="F39" i="7"/>
  <c r="L13" i="7"/>
  <c r="N13" i="7" s="1"/>
  <c r="D13" i="7"/>
  <c r="G13" i="7" s="1"/>
  <c r="M12" i="2"/>
  <c r="O12" i="2" s="1"/>
  <c r="E159" i="2"/>
  <c r="N158" i="2"/>
  <c r="N39" i="2"/>
  <c r="J13" i="7" l="1"/>
  <c r="O13" i="7" s="1"/>
  <c r="P13" i="7" s="1"/>
  <c r="B14" i="7" s="1"/>
  <c r="I13" i="7"/>
  <c r="F40" i="7"/>
  <c r="K12" i="2"/>
  <c r="P12" i="2" s="1"/>
  <c r="Q12" i="2" s="1"/>
  <c r="B13" i="2" s="1"/>
  <c r="C13" i="2" s="1"/>
  <c r="M13" i="2" s="1"/>
  <c r="O13" i="2" s="1"/>
  <c r="N159" i="2"/>
  <c r="E160" i="2"/>
  <c r="N40" i="2"/>
  <c r="F41" i="7" l="1"/>
  <c r="C14" i="7"/>
  <c r="D13" i="2"/>
  <c r="G13" i="2" s="1"/>
  <c r="N160" i="2"/>
  <c r="E161" i="2"/>
  <c r="N41" i="2"/>
  <c r="I13" i="2" l="1"/>
  <c r="J13" i="2" s="1"/>
  <c r="L14" i="7"/>
  <c r="N14" i="7" s="1"/>
  <c r="D14" i="7"/>
  <c r="G14" i="7" s="1"/>
  <c r="F42" i="7"/>
  <c r="N161" i="2"/>
  <c r="E162" i="2"/>
  <c r="N42" i="2"/>
  <c r="J14" i="7" l="1"/>
  <c r="O14" i="7" s="1"/>
  <c r="P14" i="7" s="1"/>
  <c r="B15" i="7" s="1"/>
  <c r="I14" i="7"/>
  <c r="F43" i="7"/>
  <c r="K13" i="2"/>
  <c r="P13" i="2" s="1"/>
  <c r="Q13" i="2" s="1"/>
  <c r="B14" i="2" s="1"/>
  <c r="C14" i="2" s="1"/>
  <c r="D14" i="2" s="1"/>
  <c r="G14" i="2" s="1"/>
  <c r="N162" i="2"/>
  <c r="E163" i="2"/>
  <c r="N43" i="2"/>
  <c r="I14" i="2" l="1"/>
  <c r="J14" i="2" s="1"/>
  <c r="F44" i="7"/>
  <c r="C15" i="7"/>
  <c r="M14" i="2"/>
  <c r="O14" i="2" s="1"/>
  <c r="K14" i="2"/>
  <c r="N163" i="2"/>
  <c r="E164" i="2"/>
  <c r="N44" i="2"/>
  <c r="F45" i="7" l="1"/>
  <c r="D15" i="7"/>
  <c r="G15" i="7" s="1"/>
  <c r="L15" i="7"/>
  <c r="N15" i="7" s="1"/>
  <c r="P14" i="2"/>
  <c r="Q14" i="2" s="1"/>
  <c r="B15" i="2" s="1"/>
  <c r="C15" i="2" s="1"/>
  <c r="M15" i="2" s="1"/>
  <c r="O15" i="2" s="1"/>
  <c r="N164" i="2"/>
  <c r="E165" i="2"/>
  <c r="N45" i="2"/>
  <c r="F46" i="7" l="1"/>
  <c r="J15" i="7"/>
  <c r="O15" i="7" s="1"/>
  <c r="P15" i="7" s="1"/>
  <c r="B16" i="7" s="1"/>
  <c r="I15" i="7"/>
  <c r="D15" i="2"/>
  <c r="G15" i="2" s="1"/>
  <c r="E166" i="2"/>
  <c r="N165" i="2"/>
  <c r="N46" i="2"/>
  <c r="I15" i="2" l="1"/>
  <c r="J15" i="2" s="1"/>
  <c r="C16" i="7"/>
  <c r="F47" i="7"/>
  <c r="N166" i="2"/>
  <c r="E167" i="2"/>
  <c r="N47" i="2"/>
  <c r="D16" i="7" l="1"/>
  <c r="G16" i="7" s="1"/>
  <c r="L16" i="7"/>
  <c r="N16" i="7" s="1"/>
  <c r="F48" i="7"/>
  <c r="K15" i="2"/>
  <c r="P15" i="2" s="1"/>
  <c r="Q15" i="2" s="1"/>
  <c r="B16" i="2" s="1"/>
  <c r="C16" i="2" s="1"/>
  <c r="D16" i="2" s="1"/>
  <c r="G16" i="2" s="1"/>
  <c r="N167" i="2"/>
  <c r="E168" i="2"/>
  <c r="N48" i="2"/>
  <c r="F49" i="7" l="1"/>
  <c r="I16" i="7"/>
  <c r="J16" i="7"/>
  <c r="O16" i="7" s="1"/>
  <c r="P16" i="7" s="1"/>
  <c r="B17" i="7" s="1"/>
  <c r="I16" i="2"/>
  <c r="J16" i="2" s="1"/>
  <c r="M16" i="2"/>
  <c r="O16" i="2" s="1"/>
  <c r="N168" i="2"/>
  <c r="E169" i="2"/>
  <c r="N49" i="2"/>
  <c r="K16" i="2" l="1"/>
  <c r="P16" i="2" s="1"/>
  <c r="Q16" i="2" s="1"/>
  <c r="B17" i="2" s="1"/>
  <c r="C17" i="2" s="1"/>
  <c r="D17" i="2" s="1"/>
  <c r="G17" i="2" s="1"/>
  <c r="C17" i="7"/>
  <c r="F50" i="7"/>
  <c r="E170" i="2"/>
  <c r="N169" i="2"/>
  <c r="N50" i="2"/>
  <c r="M17" i="2" l="1"/>
  <c r="O17" i="2" s="1"/>
  <c r="F51" i="7"/>
  <c r="D17" i="7"/>
  <c r="G17" i="7" s="1"/>
  <c r="L17" i="7"/>
  <c r="N17" i="7" s="1"/>
  <c r="I17" i="2"/>
  <c r="J17" i="2" s="1"/>
  <c r="N170" i="2"/>
  <c r="E171" i="2"/>
  <c r="N51" i="2"/>
  <c r="K17" i="2" l="1"/>
  <c r="P17" i="2" s="1"/>
  <c r="Q17" i="2" s="1"/>
  <c r="B18" i="2" s="1"/>
  <c r="C18" i="2" s="1"/>
  <c r="D18" i="2" s="1"/>
  <c r="G18" i="2" s="1"/>
  <c r="F52" i="7"/>
  <c r="J17" i="7"/>
  <c r="O17" i="7" s="1"/>
  <c r="P17" i="7" s="1"/>
  <c r="B18" i="7" s="1"/>
  <c r="I17" i="7"/>
  <c r="N171" i="2"/>
  <c r="E172" i="2"/>
  <c r="N52" i="2"/>
  <c r="I18" i="2" l="1"/>
  <c r="J18" i="2"/>
  <c r="M18" i="2"/>
  <c r="O18" i="2" s="1"/>
  <c r="C18" i="7"/>
  <c r="K18" i="2"/>
  <c r="F53" i="7"/>
  <c r="E173" i="2"/>
  <c r="N172" i="2"/>
  <c r="N53" i="2"/>
  <c r="P18" i="2" l="1"/>
  <c r="Q18" i="2" s="1"/>
  <c r="B19" i="2" s="1"/>
  <c r="C19" i="2" s="1"/>
  <c r="D19" i="2" s="1"/>
  <c r="G19" i="2" s="1"/>
  <c r="M19" i="2"/>
  <c r="O19" i="2" s="1"/>
  <c r="F54" i="7"/>
  <c r="D18" i="7"/>
  <c r="G18" i="7" s="1"/>
  <c r="L18" i="7"/>
  <c r="N18" i="7" s="1"/>
  <c r="N173" i="2"/>
  <c r="E174" i="2"/>
  <c r="N54" i="2"/>
  <c r="K19" i="2" l="1"/>
  <c r="P19" i="2" s="1"/>
  <c r="Q19" i="2" s="1"/>
  <c r="B20" i="2" s="1"/>
  <c r="C20" i="2" s="1"/>
  <c r="F55" i="7"/>
  <c r="J18" i="7"/>
  <c r="O18" i="7" s="1"/>
  <c r="P18" i="7" s="1"/>
  <c r="B19" i="7" s="1"/>
  <c r="I18" i="7"/>
  <c r="E175" i="2"/>
  <c r="N174" i="2"/>
  <c r="N55" i="2"/>
  <c r="D20" i="2" l="1"/>
  <c r="G20" i="2" s="1"/>
  <c r="M20" i="2"/>
  <c r="O20" i="2" s="1"/>
  <c r="I19" i="2"/>
  <c r="J19" i="2" s="1"/>
  <c r="F56" i="7"/>
  <c r="C19" i="7"/>
  <c r="N175" i="2"/>
  <c r="E176" i="2"/>
  <c r="N56" i="2"/>
  <c r="K20" i="2" l="1"/>
  <c r="P20" i="2" s="1"/>
  <c r="Q20" i="2" s="1"/>
  <c r="B21" i="2" s="1"/>
  <c r="C21" i="2" s="1"/>
  <c r="D21" i="2" s="1"/>
  <c r="F57" i="7"/>
  <c r="L19" i="7"/>
  <c r="N19" i="7" s="1"/>
  <c r="D19" i="7"/>
  <c r="G19" i="7" s="1"/>
  <c r="M21" i="2"/>
  <c r="O21" i="2" s="1"/>
  <c r="E177" i="2"/>
  <c r="N176" i="2"/>
  <c r="N57" i="2"/>
  <c r="G21" i="2" l="1"/>
  <c r="I21" i="2" s="1"/>
  <c r="J21" i="2" s="1"/>
  <c r="I20" i="2"/>
  <c r="J20" i="2" s="1"/>
  <c r="J19" i="7"/>
  <c r="O19" i="7" s="1"/>
  <c r="P19" i="7" s="1"/>
  <c r="B20" i="7" s="1"/>
  <c r="I19" i="7"/>
  <c r="F58" i="7"/>
  <c r="K21" i="2"/>
  <c r="P21" i="2" s="1"/>
  <c r="Q21" i="2" s="1"/>
  <c r="B22" i="2" s="1"/>
  <c r="C22" i="2" s="1"/>
  <c r="D22" i="2" s="1"/>
  <c r="G22" i="2" s="1"/>
  <c r="E178" i="2"/>
  <c r="N177" i="2"/>
  <c r="N58" i="2"/>
  <c r="I22" i="2" l="1"/>
  <c r="J22" i="2"/>
  <c r="M22" i="2"/>
  <c r="O22" i="2" s="1"/>
  <c r="F59" i="7"/>
  <c r="C20" i="7"/>
  <c r="E179" i="2"/>
  <c r="N178" i="2"/>
  <c r="N59" i="2"/>
  <c r="L20" i="7" l="1"/>
  <c r="N20" i="7" s="1"/>
  <c r="D20" i="7"/>
  <c r="G20" i="7" s="1"/>
  <c r="F60" i="7"/>
  <c r="N179" i="2"/>
  <c r="E180" i="2"/>
  <c r="K22" i="2"/>
  <c r="P22" i="2" s="1"/>
  <c r="Q22" i="2" s="1"/>
  <c r="B23" i="2" s="1"/>
  <c r="C23" i="2" s="1"/>
  <c r="D23" i="2" s="1"/>
  <c r="G23" i="2" s="1"/>
  <c r="N60" i="2"/>
  <c r="I23" i="2" l="1"/>
  <c r="J23" i="2"/>
  <c r="J20" i="7"/>
  <c r="O20" i="7" s="1"/>
  <c r="P20" i="7" s="1"/>
  <c r="B21" i="7" s="1"/>
  <c r="I20" i="7"/>
  <c r="F61" i="7"/>
  <c r="M23" i="2"/>
  <c r="O23" i="2" s="1"/>
  <c r="N180" i="2"/>
  <c r="E181" i="2"/>
  <c r="N61" i="2"/>
  <c r="F62" i="7" l="1"/>
  <c r="C21" i="7"/>
  <c r="K23" i="2"/>
  <c r="P23" i="2" s="1"/>
  <c r="Q23" i="2" s="1"/>
  <c r="B24" i="2" s="1"/>
  <c r="C24" i="2" s="1"/>
  <c r="D24" i="2" s="1"/>
  <c r="G24" i="2" s="1"/>
  <c r="N181" i="2"/>
  <c r="E182" i="2"/>
  <c r="N182" i="2" s="1"/>
  <c r="N62" i="2"/>
  <c r="I24" i="2" l="1"/>
  <c r="J24" i="2"/>
  <c r="D21" i="7"/>
  <c r="G21" i="7" s="1"/>
  <c r="L21" i="7"/>
  <c r="N21" i="7" s="1"/>
  <c r="F63" i="7"/>
  <c r="M24" i="2"/>
  <c r="O24" i="2" s="1"/>
  <c r="N63" i="2"/>
  <c r="F64" i="7" l="1"/>
  <c r="J21" i="7"/>
  <c r="O21" i="7" s="1"/>
  <c r="P21" i="7" s="1"/>
  <c r="B22" i="7" s="1"/>
  <c r="I21" i="7"/>
  <c r="K24" i="2"/>
  <c r="P24" i="2" s="1"/>
  <c r="Q24" i="2" s="1"/>
  <c r="B25" i="2" s="1"/>
  <c r="C25" i="2" s="1"/>
  <c r="D25" i="2" s="1"/>
  <c r="G25" i="2" s="1"/>
  <c r="N64" i="2"/>
  <c r="I25" i="2" l="1"/>
  <c r="J25" i="2"/>
  <c r="C22" i="7"/>
  <c r="F65" i="7"/>
  <c r="M25" i="2"/>
  <c r="O25" i="2" s="1"/>
  <c r="N65" i="2"/>
  <c r="F66" i="7" l="1"/>
  <c r="D22" i="7"/>
  <c r="G22" i="7" s="1"/>
  <c r="L22" i="7"/>
  <c r="N22" i="7" s="1"/>
  <c r="K25" i="2"/>
  <c r="P25" i="2" s="1"/>
  <c r="Q25" i="2" s="1"/>
  <c r="B26" i="2" s="1"/>
  <c r="C26" i="2" s="1"/>
  <c r="M26" i="2" s="1"/>
  <c r="O26" i="2" s="1"/>
  <c r="N66" i="2"/>
  <c r="I22" i="7" l="1"/>
  <c r="J22" i="7"/>
  <c r="O22" i="7" s="1"/>
  <c r="P22" i="7" s="1"/>
  <c r="B23" i="7" s="1"/>
  <c r="F67" i="7"/>
  <c r="D26" i="2"/>
  <c r="G26" i="2" s="1"/>
  <c r="N67" i="2"/>
  <c r="I26" i="2" l="1"/>
  <c r="J26" i="2"/>
  <c r="F68" i="7"/>
  <c r="C23" i="7"/>
  <c r="N68" i="2"/>
  <c r="D23" i="7" l="1"/>
  <c r="G23" i="7" s="1"/>
  <c r="L23" i="7"/>
  <c r="N23" i="7" s="1"/>
  <c r="F69" i="7"/>
  <c r="K26" i="2"/>
  <c r="P26" i="2" s="1"/>
  <c r="Q26" i="2" s="1"/>
  <c r="B27" i="2" s="1"/>
  <c r="C27" i="2" s="1"/>
  <c r="D27" i="2" s="1"/>
  <c r="G27" i="2" s="1"/>
  <c r="N69" i="2"/>
  <c r="I27" i="2" l="1"/>
  <c r="J27" i="2" s="1"/>
  <c r="F70" i="7"/>
  <c r="I23" i="7"/>
  <c r="J23" i="7"/>
  <c r="O23" i="7" s="1"/>
  <c r="P23" i="7" s="1"/>
  <c r="B24" i="7" s="1"/>
  <c r="M27" i="2"/>
  <c r="O27" i="2" s="1"/>
  <c r="K27" i="2"/>
  <c r="N70" i="2"/>
  <c r="C24" i="7" l="1"/>
  <c r="F71" i="7"/>
  <c r="P27" i="2"/>
  <c r="Q27" i="2" s="1"/>
  <c r="B28" i="2" s="1"/>
  <c r="C28" i="2" s="1"/>
  <c r="D28" i="2" s="1"/>
  <c r="G28" i="2" s="1"/>
  <c r="N71" i="2"/>
  <c r="F72" i="7" l="1"/>
  <c r="D24" i="7"/>
  <c r="G24" i="7" s="1"/>
  <c r="L24" i="7"/>
  <c r="N24" i="7" s="1"/>
  <c r="I28" i="2"/>
  <c r="J28" i="2" s="1"/>
  <c r="M28" i="2"/>
  <c r="O28" i="2" s="1"/>
  <c r="N72" i="2"/>
  <c r="K28" i="2" l="1"/>
  <c r="J24" i="7"/>
  <c r="O24" i="7" s="1"/>
  <c r="P24" i="7" s="1"/>
  <c r="B25" i="7" s="1"/>
  <c r="I24" i="7"/>
  <c r="F73" i="7"/>
  <c r="P28" i="2"/>
  <c r="Q28" i="2" s="1"/>
  <c r="B29" i="2" s="1"/>
  <c r="C29" i="2" s="1"/>
  <c r="D29" i="2" s="1"/>
  <c r="G29" i="2" s="1"/>
  <c r="N73" i="2"/>
  <c r="I29" i="2" l="1"/>
  <c r="J29" i="2"/>
  <c r="M29" i="2"/>
  <c r="O29" i="2" s="1"/>
  <c r="F74" i="7"/>
  <c r="C25" i="7"/>
  <c r="K29" i="2"/>
  <c r="N74" i="2"/>
  <c r="P29" i="2" l="1"/>
  <c r="Q29" i="2" s="1"/>
  <c r="B30" i="2" s="1"/>
  <c r="C30" i="2" s="1"/>
  <c r="D30" i="2" s="1"/>
  <c r="L25" i="7"/>
  <c r="N25" i="7" s="1"/>
  <c r="D25" i="7"/>
  <c r="G25" i="7" s="1"/>
  <c r="F75" i="7"/>
  <c r="M30" i="2"/>
  <c r="O30" i="2" s="1"/>
  <c r="N75" i="2"/>
  <c r="G30" i="2" l="1"/>
  <c r="I30" i="2" s="1"/>
  <c r="J30" i="2" s="1"/>
  <c r="J25" i="7"/>
  <c r="O25" i="7" s="1"/>
  <c r="P25" i="7" s="1"/>
  <c r="B26" i="7" s="1"/>
  <c r="I25" i="7"/>
  <c r="F76" i="7"/>
  <c r="K30" i="2"/>
  <c r="P30" i="2" s="1"/>
  <c r="Q30" i="2" s="1"/>
  <c r="B31" i="2" s="1"/>
  <c r="C31" i="2" s="1"/>
  <c r="M31" i="2" s="1"/>
  <c r="O31" i="2" s="1"/>
  <c r="N76" i="2"/>
  <c r="F77" i="7" l="1"/>
  <c r="C26" i="7"/>
  <c r="D31" i="2"/>
  <c r="G31" i="2" s="1"/>
  <c r="N77" i="2"/>
  <c r="I31" i="2" l="1"/>
  <c r="J31" i="2" s="1"/>
  <c r="F78" i="7"/>
  <c r="L26" i="7"/>
  <c r="N26" i="7" s="1"/>
  <c r="D26" i="7"/>
  <c r="G26" i="7" s="1"/>
  <c r="N78" i="2"/>
  <c r="J26" i="7" l="1"/>
  <c r="O26" i="7" s="1"/>
  <c r="P26" i="7" s="1"/>
  <c r="B27" i="7" s="1"/>
  <c r="I26" i="7"/>
  <c r="F79" i="7"/>
  <c r="K31" i="2"/>
  <c r="P31" i="2" s="1"/>
  <c r="Q31" i="2" s="1"/>
  <c r="B32" i="2" s="1"/>
  <c r="C32" i="2" s="1"/>
  <c r="M32" i="2" s="1"/>
  <c r="O32" i="2" s="1"/>
  <c r="N79" i="2"/>
  <c r="F80" i="7" l="1"/>
  <c r="C27" i="7"/>
  <c r="D32" i="2"/>
  <c r="G32" i="2" s="1"/>
  <c r="N80" i="2"/>
  <c r="I32" i="2" l="1"/>
  <c r="J32" i="2" s="1"/>
  <c r="D27" i="7"/>
  <c r="G27" i="7" s="1"/>
  <c r="L27" i="7"/>
  <c r="N27" i="7" s="1"/>
  <c r="F81" i="7"/>
  <c r="K32" i="2"/>
  <c r="P32" i="2" s="1"/>
  <c r="Q32" i="2" s="1"/>
  <c r="B33" i="2" s="1"/>
  <c r="C33" i="2" s="1"/>
  <c r="D33" i="2" s="1"/>
  <c r="G33" i="2" s="1"/>
  <c r="N81" i="2"/>
  <c r="I33" i="2" l="1"/>
  <c r="J33" i="2"/>
  <c r="F82" i="7"/>
  <c r="J27" i="7"/>
  <c r="O27" i="7" s="1"/>
  <c r="P27" i="7" s="1"/>
  <c r="B28" i="7" s="1"/>
  <c r="I27" i="7"/>
  <c r="M33" i="2"/>
  <c r="O33" i="2" s="1"/>
  <c r="K33" i="2"/>
  <c r="N82" i="2"/>
  <c r="P33" i="2" l="1"/>
  <c r="Q33" i="2" s="1"/>
  <c r="B34" i="2" s="1"/>
  <c r="C34" i="2" s="1"/>
  <c r="M34" i="2" s="1"/>
  <c r="O34" i="2" s="1"/>
  <c r="C28" i="7"/>
  <c r="F83" i="7"/>
  <c r="N83" i="2"/>
  <c r="D34" i="2" l="1"/>
  <c r="G34" i="2" s="1"/>
  <c r="I34" i="2" s="1"/>
  <c r="J34" i="2" s="1"/>
  <c r="D28" i="7"/>
  <c r="G28" i="7" s="1"/>
  <c r="L28" i="7"/>
  <c r="N28" i="7" s="1"/>
  <c r="F84" i="7"/>
  <c r="N84" i="2"/>
  <c r="F85" i="7" l="1"/>
  <c r="I28" i="7"/>
  <c r="J28" i="7"/>
  <c r="O28" i="7" s="1"/>
  <c r="P28" i="7" s="1"/>
  <c r="B29" i="7" s="1"/>
  <c r="K34" i="2"/>
  <c r="P34" i="2" s="1"/>
  <c r="Q34" i="2" s="1"/>
  <c r="B35" i="2" s="1"/>
  <c r="C35" i="2" s="1"/>
  <c r="D35" i="2" s="1"/>
  <c r="G35" i="2" s="1"/>
  <c r="N85" i="2"/>
  <c r="I35" i="2" l="1"/>
  <c r="J35" i="2"/>
  <c r="C29" i="7"/>
  <c r="F86" i="7"/>
  <c r="M35" i="2"/>
  <c r="O35" i="2" s="1"/>
  <c r="K35" i="2"/>
  <c r="N86" i="2"/>
  <c r="F87" i="7" l="1"/>
  <c r="D29" i="7"/>
  <c r="G29" i="7" s="1"/>
  <c r="L29" i="7"/>
  <c r="N29" i="7" s="1"/>
  <c r="P35" i="2"/>
  <c r="Q35" i="2" s="1"/>
  <c r="B36" i="2" s="1"/>
  <c r="C36" i="2" s="1"/>
  <c r="D36" i="2" s="1"/>
  <c r="G36" i="2" s="1"/>
  <c r="N87" i="2"/>
  <c r="I29" i="7" l="1"/>
  <c r="J29" i="7"/>
  <c r="O29" i="7" s="1"/>
  <c r="P29" i="7" s="1"/>
  <c r="B30" i="7" s="1"/>
  <c r="F88" i="7"/>
  <c r="I36" i="2"/>
  <c r="J36" i="2" s="1"/>
  <c r="M36" i="2"/>
  <c r="O36" i="2" s="1"/>
  <c r="N88" i="2"/>
  <c r="K36" i="2" l="1"/>
  <c r="P36" i="2" s="1"/>
  <c r="Q36" i="2" s="1"/>
  <c r="B37" i="2" s="1"/>
  <c r="C37" i="2" s="1"/>
  <c r="D37" i="2" s="1"/>
  <c r="G37" i="2" s="1"/>
  <c r="F89" i="7"/>
  <c r="C30" i="7"/>
  <c r="N89" i="2"/>
  <c r="I37" i="2" l="1"/>
  <c r="J37" i="2" s="1"/>
  <c r="F90" i="7"/>
  <c r="M37" i="2"/>
  <c r="O37" i="2" s="1"/>
  <c r="D30" i="7"/>
  <c r="G30" i="7" s="1"/>
  <c r="L30" i="7"/>
  <c r="N30" i="7" s="1"/>
  <c r="K37" i="2"/>
  <c r="N90" i="2"/>
  <c r="P37" i="2" l="1"/>
  <c r="Q37" i="2" s="1"/>
  <c r="B38" i="2" s="1"/>
  <c r="C38" i="2" s="1"/>
  <c r="D38" i="2" s="1"/>
  <c r="G38" i="2" s="1"/>
  <c r="J30" i="7"/>
  <c r="O30" i="7" s="1"/>
  <c r="P30" i="7" s="1"/>
  <c r="B31" i="7" s="1"/>
  <c r="I30" i="7"/>
  <c r="F91" i="7"/>
  <c r="N91" i="2"/>
  <c r="M38" i="2" l="1"/>
  <c r="O38" i="2" s="1"/>
  <c r="I38" i="2"/>
  <c r="J38" i="2"/>
  <c r="F92" i="7"/>
  <c r="C31" i="7"/>
  <c r="K38" i="2"/>
  <c r="P38" i="2" s="1"/>
  <c r="Q38" i="2" s="1"/>
  <c r="B39" i="2" s="1"/>
  <c r="C39" i="2" s="1"/>
  <c r="N92" i="2"/>
  <c r="L31" i="7" l="1"/>
  <c r="N31" i="7" s="1"/>
  <c r="D31" i="7"/>
  <c r="G31" i="7" s="1"/>
  <c r="F93" i="7"/>
  <c r="N93" i="2"/>
  <c r="D39" i="2"/>
  <c r="G39" i="2" s="1"/>
  <c r="M39" i="2"/>
  <c r="O39" i="2" s="1"/>
  <c r="I39" i="2" l="1"/>
  <c r="J39" i="2"/>
  <c r="J31" i="7"/>
  <c r="O31" i="7" s="1"/>
  <c r="P31" i="7" s="1"/>
  <c r="B32" i="7" s="1"/>
  <c r="I31" i="7"/>
  <c r="F94" i="7"/>
  <c r="N94" i="2"/>
  <c r="F95" i="7" l="1"/>
  <c r="C32" i="7"/>
  <c r="K39" i="2"/>
  <c r="P39" i="2" s="1"/>
  <c r="Q39" i="2" s="1"/>
  <c r="B40" i="2" s="1"/>
  <c r="C40" i="2" s="1"/>
  <c r="N95" i="2"/>
  <c r="F96" i="7" l="1"/>
  <c r="L32" i="7"/>
  <c r="N32" i="7" s="1"/>
  <c r="D32" i="7"/>
  <c r="G32" i="7" s="1"/>
  <c r="N96" i="2"/>
  <c r="D40" i="2"/>
  <c r="G40" i="2" s="1"/>
  <c r="M40" i="2"/>
  <c r="O40" i="2" s="1"/>
  <c r="I40" i="2" l="1"/>
  <c r="J40" i="2"/>
  <c r="J32" i="7"/>
  <c r="O32" i="7" s="1"/>
  <c r="P32" i="7" s="1"/>
  <c r="B33" i="7" s="1"/>
  <c r="I32" i="7"/>
  <c r="F97" i="7"/>
  <c r="N97" i="2"/>
  <c r="F98" i="7" l="1"/>
  <c r="C33" i="7"/>
  <c r="K40" i="2"/>
  <c r="P40" i="2" s="1"/>
  <c r="Q40" i="2" s="1"/>
  <c r="B41" i="2" s="1"/>
  <c r="C41" i="2" s="1"/>
  <c r="N98" i="2"/>
  <c r="L33" i="7" l="1"/>
  <c r="N33" i="7" s="1"/>
  <c r="D33" i="7"/>
  <c r="G33" i="7" s="1"/>
  <c r="F99" i="7"/>
  <c r="N99" i="2"/>
  <c r="D41" i="2"/>
  <c r="G41" i="2" s="1"/>
  <c r="M41" i="2"/>
  <c r="O41" i="2" s="1"/>
  <c r="I41" i="2" l="1"/>
  <c r="J41" i="2" s="1"/>
  <c r="J33" i="7"/>
  <c r="O33" i="7" s="1"/>
  <c r="P33" i="7" s="1"/>
  <c r="B34" i="7" s="1"/>
  <c r="I33" i="7"/>
  <c r="F100" i="7"/>
  <c r="N100" i="2"/>
  <c r="F101" i="7" l="1"/>
  <c r="C34" i="7"/>
  <c r="K41" i="2"/>
  <c r="P41" i="2" s="1"/>
  <c r="Q41" i="2" s="1"/>
  <c r="B42" i="2" s="1"/>
  <c r="C42" i="2" s="1"/>
  <c r="N101" i="2"/>
  <c r="F102" i="7" l="1"/>
  <c r="L34" i="7"/>
  <c r="N34" i="7" s="1"/>
  <c r="D34" i="7"/>
  <c r="G34" i="7" s="1"/>
  <c r="N102" i="2"/>
  <c r="D42" i="2"/>
  <c r="G42" i="2" s="1"/>
  <c r="M42" i="2"/>
  <c r="O42" i="2" s="1"/>
  <c r="I42" i="2" l="1"/>
  <c r="J42" i="2"/>
  <c r="I34" i="7"/>
  <c r="J34" i="7"/>
  <c r="O34" i="7" s="1"/>
  <c r="P34" i="7" s="1"/>
  <c r="B35" i="7" s="1"/>
  <c r="F103" i="7"/>
  <c r="N103" i="2"/>
  <c r="C35" i="7" l="1"/>
  <c r="F104" i="7"/>
  <c r="K42" i="2"/>
  <c r="P42" i="2" s="1"/>
  <c r="Q42" i="2" s="1"/>
  <c r="B43" i="2" s="1"/>
  <c r="C43" i="2" s="1"/>
  <c r="N104" i="2"/>
  <c r="F105" i="7" l="1"/>
  <c r="L35" i="7"/>
  <c r="N35" i="7" s="1"/>
  <c r="D35" i="7"/>
  <c r="G35" i="7" s="1"/>
  <c r="N105" i="2"/>
  <c r="M43" i="2"/>
  <c r="O43" i="2" s="1"/>
  <c r="D43" i="2"/>
  <c r="G43" i="2" s="1"/>
  <c r="I43" i="2" l="1"/>
  <c r="J43" i="2"/>
  <c r="J35" i="7"/>
  <c r="O35" i="7" s="1"/>
  <c r="P35" i="7" s="1"/>
  <c r="B36" i="7" s="1"/>
  <c r="I35" i="7"/>
  <c r="F106" i="7"/>
  <c r="N106" i="2"/>
  <c r="K43" i="2"/>
  <c r="P43" i="2" s="1"/>
  <c r="Q43" i="2" s="1"/>
  <c r="B44" i="2" s="1"/>
  <c r="C44" i="2" s="1"/>
  <c r="F107" i="7" l="1"/>
  <c r="C36" i="7"/>
  <c r="N107" i="2"/>
  <c r="M44" i="2"/>
  <c r="O44" i="2" s="1"/>
  <c r="D44" i="2"/>
  <c r="G44" i="2" s="1"/>
  <c r="I44" i="2" l="1"/>
  <c r="J44" i="2"/>
  <c r="F108" i="7"/>
  <c r="D36" i="7"/>
  <c r="G36" i="7" s="1"/>
  <c r="L36" i="7"/>
  <c r="N36" i="7" s="1"/>
  <c r="N108" i="2"/>
  <c r="K44" i="2"/>
  <c r="P44" i="2" s="1"/>
  <c r="Q44" i="2" s="1"/>
  <c r="B45" i="2" s="1"/>
  <c r="I36" i="7" l="1"/>
  <c r="J36" i="7"/>
  <c r="O36" i="7" s="1"/>
  <c r="P36" i="7" s="1"/>
  <c r="B37" i="7" s="1"/>
  <c r="F109" i="7"/>
  <c r="N109" i="2"/>
  <c r="C45" i="2"/>
  <c r="F110" i="7" l="1"/>
  <c r="C37" i="7"/>
  <c r="N110" i="2"/>
  <c r="M45" i="2"/>
  <c r="O45" i="2" s="1"/>
  <c r="D45" i="2"/>
  <c r="G45" i="2" s="1"/>
  <c r="I45" i="2" l="1"/>
  <c r="J45" i="2"/>
  <c r="D37" i="7"/>
  <c r="G37" i="7" s="1"/>
  <c r="L37" i="7"/>
  <c r="N37" i="7" s="1"/>
  <c r="F111" i="7"/>
  <c r="N111" i="2"/>
  <c r="F112" i="7" l="1"/>
  <c r="J37" i="7"/>
  <c r="O37" i="7" s="1"/>
  <c r="P37" i="7" s="1"/>
  <c r="B38" i="7" s="1"/>
  <c r="I37" i="7"/>
  <c r="K45" i="2"/>
  <c r="P45" i="2" s="1"/>
  <c r="Q45" i="2" s="1"/>
  <c r="B46" i="2" s="1"/>
  <c r="C46" i="2" s="1"/>
  <c r="M46" i="2" s="1"/>
  <c r="O46" i="2" s="1"/>
  <c r="N112" i="2"/>
  <c r="F113" i="7" l="1"/>
  <c r="C38" i="7"/>
  <c r="D46" i="2"/>
  <c r="G46" i="2" s="1"/>
  <c r="N113" i="2"/>
  <c r="I46" i="2" l="1"/>
  <c r="J46" i="2" s="1"/>
  <c r="L38" i="7"/>
  <c r="N38" i="7" s="1"/>
  <c r="D38" i="7"/>
  <c r="G38" i="7" s="1"/>
  <c r="F114" i="7"/>
  <c r="N114" i="2"/>
  <c r="J38" i="7" l="1"/>
  <c r="O38" i="7" s="1"/>
  <c r="P38" i="7" s="1"/>
  <c r="B39" i="7" s="1"/>
  <c r="I38" i="7"/>
  <c r="F115" i="7"/>
  <c r="K46" i="2"/>
  <c r="P46" i="2" s="1"/>
  <c r="Q46" i="2" s="1"/>
  <c r="B47" i="2" s="1"/>
  <c r="C47" i="2" s="1"/>
  <c r="D47" i="2" s="1"/>
  <c r="G47" i="2" s="1"/>
  <c r="N115" i="2"/>
  <c r="I47" i="2" l="1"/>
  <c r="J47" i="2"/>
  <c r="F116" i="7"/>
  <c r="C39" i="7"/>
  <c r="M47" i="2"/>
  <c r="O47" i="2" s="1"/>
  <c r="K47" i="2"/>
  <c r="N116" i="2"/>
  <c r="L39" i="7" l="1"/>
  <c r="N39" i="7" s="1"/>
  <c r="D39" i="7"/>
  <c r="G39" i="7" s="1"/>
  <c r="F117" i="7"/>
  <c r="P47" i="2"/>
  <c r="Q47" i="2" s="1"/>
  <c r="B48" i="2" s="1"/>
  <c r="C48" i="2" s="1"/>
  <c r="D48" i="2" s="1"/>
  <c r="G48" i="2" s="1"/>
  <c r="N117" i="2"/>
  <c r="I48" i="2" l="1"/>
  <c r="J48" i="2"/>
  <c r="J39" i="7"/>
  <c r="O39" i="7" s="1"/>
  <c r="P39" i="7" s="1"/>
  <c r="B40" i="7" s="1"/>
  <c r="I39" i="7"/>
  <c r="F118" i="7"/>
  <c r="M48" i="2"/>
  <c r="O48" i="2" s="1"/>
  <c r="N118" i="2"/>
  <c r="F119" i="7" l="1"/>
  <c r="C40" i="7"/>
  <c r="K48" i="2"/>
  <c r="P48" i="2" s="1"/>
  <c r="Q48" i="2" s="1"/>
  <c r="B49" i="2" s="1"/>
  <c r="C49" i="2" s="1"/>
  <c r="N119" i="2"/>
  <c r="L40" i="7" l="1"/>
  <c r="N40" i="7" s="1"/>
  <c r="D40" i="7"/>
  <c r="G40" i="7" s="1"/>
  <c r="F120" i="7"/>
  <c r="N120" i="2"/>
  <c r="D49" i="2"/>
  <c r="G49" i="2" s="1"/>
  <c r="M49" i="2"/>
  <c r="O49" i="2" s="1"/>
  <c r="I49" i="2" l="1"/>
  <c r="J49" i="2" s="1"/>
  <c r="F121" i="7"/>
  <c r="J40" i="7"/>
  <c r="O40" i="7" s="1"/>
  <c r="P40" i="7" s="1"/>
  <c r="B41" i="7" s="1"/>
  <c r="I40" i="7"/>
  <c r="N121" i="2"/>
  <c r="N122" i="2"/>
  <c r="K49" i="2"/>
  <c r="P49" i="2" s="1"/>
  <c r="Q49" i="2" s="1"/>
  <c r="B50" i="2" s="1"/>
  <c r="C41" i="7" l="1"/>
  <c r="F122" i="7"/>
  <c r="C50" i="2"/>
  <c r="F123" i="7" l="1"/>
  <c r="L41" i="7"/>
  <c r="N41" i="7" s="1"/>
  <c r="D41" i="7"/>
  <c r="G41" i="7" s="1"/>
  <c r="D50" i="2"/>
  <c r="G50" i="2" s="1"/>
  <c r="M50" i="2"/>
  <c r="O50" i="2" s="1"/>
  <c r="I50" i="2" l="1"/>
  <c r="J50" i="2"/>
  <c r="J41" i="7"/>
  <c r="O41" i="7" s="1"/>
  <c r="P41" i="7" s="1"/>
  <c r="B42" i="7" s="1"/>
  <c r="I41" i="7"/>
  <c r="F124" i="7"/>
  <c r="F125" i="7" l="1"/>
  <c r="C42" i="7"/>
  <c r="K50" i="2"/>
  <c r="P50" i="2" s="1"/>
  <c r="Q50" i="2" s="1"/>
  <c r="B51" i="2" s="1"/>
  <c r="C51" i="2" s="1"/>
  <c r="D42" i="7" l="1"/>
  <c r="G42" i="7" s="1"/>
  <c r="L42" i="7"/>
  <c r="N42" i="7" s="1"/>
  <c r="F126" i="7"/>
  <c r="D51" i="2"/>
  <c r="G51" i="2" s="1"/>
  <c r="M51" i="2"/>
  <c r="O51" i="2" s="1"/>
  <c r="I51" i="2" l="1"/>
  <c r="J51" i="2"/>
  <c r="F127" i="7"/>
  <c r="J42" i="7"/>
  <c r="O42" i="7" s="1"/>
  <c r="P42" i="7" s="1"/>
  <c r="B43" i="7" s="1"/>
  <c r="I42" i="7"/>
  <c r="C43" i="7" l="1"/>
  <c r="F128" i="7"/>
  <c r="K51" i="2"/>
  <c r="P51" i="2" s="1"/>
  <c r="Q51" i="2" s="1"/>
  <c r="B52" i="2" s="1"/>
  <c r="C52" i="2" s="1"/>
  <c r="F129" i="7" l="1"/>
  <c r="D43" i="7"/>
  <c r="G43" i="7" s="1"/>
  <c r="L43" i="7"/>
  <c r="N43" i="7" s="1"/>
  <c r="D52" i="2"/>
  <c r="G52" i="2" s="1"/>
  <c r="M52" i="2"/>
  <c r="O52" i="2" s="1"/>
  <c r="I52" i="2" l="1"/>
  <c r="J52" i="2" s="1"/>
  <c r="J43" i="7"/>
  <c r="O43" i="7" s="1"/>
  <c r="P43" i="7" s="1"/>
  <c r="B44" i="7" s="1"/>
  <c r="I43" i="7"/>
  <c r="F130" i="7"/>
  <c r="F131" i="7" l="1"/>
  <c r="C44" i="7"/>
  <c r="K52" i="2"/>
  <c r="P52" i="2" s="1"/>
  <c r="Q52" i="2" s="1"/>
  <c r="B53" i="2" s="1"/>
  <c r="C53" i="2" s="1"/>
  <c r="L44" i="7" l="1"/>
  <c r="N44" i="7" s="1"/>
  <c r="D44" i="7"/>
  <c r="G44" i="7" s="1"/>
  <c r="F132" i="7"/>
  <c r="D53" i="2"/>
  <c r="G53" i="2" s="1"/>
  <c r="M53" i="2"/>
  <c r="O53" i="2" s="1"/>
  <c r="I53" i="2" l="1"/>
  <c r="J53" i="2" s="1"/>
  <c r="J44" i="7"/>
  <c r="O44" i="7" s="1"/>
  <c r="P44" i="7" s="1"/>
  <c r="B45" i="7" s="1"/>
  <c r="I44" i="7"/>
  <c r="F133" i="7"/>
  <c r="F134" i="7" l="1"/>
  <c r="C45" i="7"/>
  <c r="K53" i="2"/>
  <c r="P53" i="2" s="1"/>
  <c r="Q53" i="2" s="1"/>
  <c r="B54" i="2" s="1"/>
  <c r="C54" i="2" s="1"/>
  <c r="L45" i="7" l="1"/>
  <c r="N45" i="7" s="1"/>
  <c r="D45" i="7"/>
  <c r="G45" i="7" s="1"/>
  <c r="F135" i="7"/>
  <c r="D54" i="2"/>
  <c r="G54" i="2" s="1"/>
  <c r="M54" i="2"/>
  <c r="O54" i="2" s="1"/>
  <c r="I54" i="2" l="1"/>
  <c r="J54" i="2"/>
  <c r="J45" i="7"/>
  <c r="O45" i="7" s="1"/>
  <c r="P45" i="7" s="1"/>
  <c r="B46" i="7" s="1"/>
  <c r="I45" i="7"/>
  <c r="F136" i="7"/>
  <c r="F137" i="7" l="1"/>
  <c r="C46" i="7"/>
  <c r="K54" i="2"/>
  <c r="P54" i="2" s="1"/>
  <c r="Q54" i="2" s="1"/>
  <c r="B55" i="2" s="1"/>
  <c r="C55" i="2" s="1"/>
  <c r="L46" i="7" l="1"/>
  <c r="N46" i="7" s="1"/>
  <c r="D46" i="7"/>
  <c r="G46" i="7" s="1"/>
  <c r="F138" i="7"/>
  <c r="M55" i="2"/>
  <c r="O55" i="2" s="1"/>
  <c r="D55" i="2"/>
  <c r="G55" i="2" s="1"/>
  <c r="I55" i="2" l="1"/>
  <c r="J55" i="2"/>
  <c r="J46" i="7"/>
  <c r="O46" i="7" s="1"/>
  <c r="P46" i="7" s="1"/>
  <c r="B47" i="7" s="1"/>
  <c r="I46" i="7"/>
  <c r="F139" i="7"/>
  <c r="F140" i="7" l="1"/>
  <c r="C47" i="7"/>
  <c r="K55" i="2"/>
  <c r="P55" i="2" s="1"/>
  <c r="Q55" i="2" s="1"/>
  <c r="B56" i="2" s="1"/>
  <c r="C56" i="2" s="1"/>
  <c r="M56" i="2" s="1"/>
  <c r="O56" i="2" s="1"/>
  <c r="D47" i="7" l="1"/>
  <c r="G47" i="7" s="1"/>
  <c r="L47" i="7"/>
  <c r="N47" i="7" s="1"/>
  <c r="F141" i="7"/>
  <c r="D56" i="2"/>
  <c r="G56" i="2" s="1"/>
  <c r="I56" i="2" l="1"/>
  <c r="J56" i="2" s="1"/>
  <c r="F142" i="7"/>
  <c r="J47" i="7"/>
  <c r="O47" i="7" s="1"/>
  <c r="P47" i="7" s="1"/>
  <c r="B48" i="7" s="1"/>
  <c r="I47" i="7"/>
  <c r="C48" i="7" l="1"/>
  <c r="F143" i="7"/>
  <c r="K56" i="2"/>
  <c r="P56" i="2" s="1"/>
  <c r="Q56" i="2" s="1"/>
  <c r="B57" i="2" s="1"/>
  <c r="C57" i="2" s="1"/>
  <c r="M57" i="2" s="1"/>
  <c r="O57" i="2" s="1"/>
  <c r="D48" i="7" l="1"/>
  <c r="G48" i="7" s="1"/>
  <c r="L48" i="7"/>
  <c r="N48" i="7" s="1"/>
  <c r="F144" i="7"/>
  <c r="D57" i="2"/>
  <c r="G57" i="2" s="1"/>
  <c r="I57" i="2" l="1"/>
  <c r="J57" i="2"/>
  <c r="F145" i="7"/>
  <c r="J48" i="7"/>
  <c r="O48" i="7" s="1"/>
  <c r="P48" i="7" s="1"/>
  <c r="B49" i="7" s="1"/>
  <c r="I48" i="7"/>
  <c r="K57" i="2"/>
  <c r="P57" i="2" s="1"/>
  <c r="Q57" i="2" s="1"/>
  <c r="B58" i="2" s="1"/>
  <c r="C58" i="2" s="1"/>
  <c r="M58" i="2" s="1"/>
  <c r="O58" i="2" s="1"/>
  <c r="F146" i="7" l="1"/>
  <c r="C49" i="7"/>
  <c r="D58" i="2"/>
  <c r="G58" i="2" s="1"/>
  <c r="I58" i="2" l="1"/>
  <c r="J58" i="2" s="1"/>
  <c r="F147" i="7"/>
  <c r="D49" i="7"/>
  <c r="G49" i="7" s="1"/>
  <c r="L49" i="7"/>
  <c r="N49" i="7" s="1"/>
  <c r="K58" i="2"/>
  <c r="P58" i="2" s="1"/>
  <c r="Q58" i="2" s="1"/>
  <c r="B59" i="2" s="1"/>
  <c r="C59" i="2" s="1"/>
  <c r="D59" i="2" s="1"/>
  <c r="G59" i="2" s="1"/>
  <c r="I59" i="2" l="1"/>
  <c r="J59" i="2"/>
  <c r="J49" i="7"/>
  <c r="O49" i="7" s="1"/>
  <c r="P49" i="7" s="1"/>
  <c r="B50" i="7" s="1"/>
  <c r="I49" i="7"/>
  <c r="F148" i="7"/>
  <c r="M59" i="2"/>
  <c r="O59" i="2" s="1"/>
  <c r="K59" i="2"/>
  <c r="F149" i="7" l="1"/>
  <c r="C50" i="7"/>
  <c r="P59" i="2"/>
  <c r="Q59" i="2" s="1"/>
  <c r="B60" i="2" s="1"/>
  <c r="C60" i="2" s="1"/>
  <c r="D60" i="2" s="1"/>
  <c r="G60" i="2" s="1"/>
  <c r="I60" i="2" l="1"/>
  <c r="J60" i="2"/>
  <c r="M60" i="2"/>
  <c r="O60" i="2" s="1"/>
  <c r="L50" i="7"/>
  <c r="N50" i="7" s="1"/>
  <c r="D50" i="7"/>
  <c r="G50" i="7" s="1"/>
  <c r="F150" i="7"/>
  <c r="F151" i="7" l="1"/>
  <c r="I50" i="7"/>
  <c r="J50" i="7"/>
  <c r="O50" i="7" s="1"/>
  <c r="P50" i="7" s="1"/>
  <c r="B51" i="7" s="1"/>
  <c r="K60" i="2"/>
  <c r="P60" i="2" s="1"/>
  <c r="Q60" i="2" s="1"/>
  <c r="B61" i="2" s="1"/>
  <c r="C61" i="2" s="1"/>
  <c r="D61" i="2" s="1"/>
  <c r="G61" i="2" s="1"/>
  <c r="I61" i="2" l="1"/>
  <c r="J61" i="2"/>
  <c r="C51" i="7"/>
  <c r="F152" i="7"/>
  <c r="M61" i="2"/>
  <c r="O61" i="2" s="1"/>
  <c r="F153" i="7" l="1"/>
  <c r="L51" i="7"/>
  <c r="N51" i="7" s="1"/>
  <c r="D51" i="7"/>
  <c r="G51" i="7" s="1"/>
  <c r="K61" i="2"/>
  <c r="P61" i="2" s="1"/>
  <c r="Q61" i="2" s="1"/>
  <c r="B62" i="2" s="1"/>
  <c r="C62" i="2" s="1"/>
  <c r="J51" i="7" l="1"/>
  <c r="O51" i="7" s="1"/>
  <c r="P51" i="7" s="1"/>
  <c r="B52" i="7" s="1"/>
  <c r="I51" i="7"/>
  <c r="F154" i="7"/>
  <c r="D62" i="2"/>
  <c r="G62" i="2" s="1"/>
  <c r="M62" i="2"/>
  <c r="O62" i="2" s="1"/>
  <c r="I62" i="2" l="1"/>
  <c r="J62" i="2"/>
  <c r="F155" i="7"/>
  <c r="C52" i="7"/>
  <c r="L52" i="7" l="1"/>
  <c r="N52" i="7" s="1"/>
  <c r="D52" i="7"/>
  <c r="G52" i="7" s="1"/>
  <c r="F156" i="7"/>
  <c r="K62" i="2"/>
  <c r="P62" i="2" s="1"/>
  <c r="Q62" i="2" s="1"/>
  <c r="B63" i="2" s="1"/>
  <c r="C63" i="2" s="1"/>
  <c r="D63" i="2" s="1"/>
  <c r="G63" i="2" s="1"/>
  <c r="I63" i="2" l="1"/>
  <c r="J63" i="2" s="1"/>
  <c r="J52" i="7"/>
  <c r="O52" i="7" s="1"/>
  <c r="P52" i="7" s="1"/>
  <c r="B53" i="7" s="1"/>
  <c r="I52" i="7"/>
  <c r="F157" i="7"/>
  <c r="M63" i="2"/>
  <c r="O63" i="2" s="1"/>
  <c r="F158" i="7" l="1"/>
  <c r="C53" i="7"/>
  <c r="K63" i="2"/>
  <c r="P63" i="2" s="1"/>
  <c r="Q63" i="2" s="1"/>
  <c r="B64" i="2" s="1"/>
  <c r="C64" i="2" s="1"/>
  <c r="D53" i="7" l="1"/>
  <c r="G53" i="7" s="1"/>
  <c r="L53" i="7"/>
  <c r="N53" i="7" s="1"/>
  <c r="F159" i="7"/>
  <c r="D64" i="2"/>
  <c r="G64" i="2" s="1"/>
  <c r="M64" i="2"/>
  <c r="O64" i="2" s="1"/>
  <c r="I64" i="2" l="1"/>
  <c r="J64" i="2" s="1"/>
  <c r="F160" i="7"/>
  <c r="J53" i="7"/>
  <c r="O53" i="7" s="1"/>
  <c r="P53" i="7" s="1"/>
  <c r="B54" i="7" s="1"/>
  <c r="I53" i="7"/>
  <c r="C54" i="7" l="1"/>
  <c r="F161" i="7"/>
  <c r="K64" i="2"/>
  <c r="P64" i="2" s="1"/>
  <c r="Q64" i="2" s="1"/>
  <c r="B65" i="2" s="1"/>
  <c r="C65" i="2" s="1"/>
  <c r="F162" i="7" l="1"/>
  <c r="D54" i="7"/>
  <c r="G54" i="7" s="1"/>
  <c r="L54" i="7"/>
  <c r="N54" i="7" s="1"/>
  <c r="D65" i="2"/>
  <c r="G65" i="2" s="1"/>
  <c r="M65" i="2"/>
  <c r="O65" i="2" s="1"/>
  <c r="I65" i="2" l="1"/>
  <c r="J65" i="2" s="1"/>
  <c r="J54" i="7"/>
  <c r="O54" i="7" s="1"/>
  <c r="P54" i="7" s="1"/>
  <c r="B55" i="7" s="1"/>
  <c r="I54" i="7"/>
  <c r="F163" i="7"/>
  <c r="F164" i="7" l="1"/>
  <c r="C55" i="7"/>
  <c r="K65" i="2"/>
  <c r="P65" i="2" s="1"/>
  <c r="Q65" i="2" s="1"/>
  <c r="B66" i="2" s="1"/>
  <c r="C66" i="2" s="1"/>
  <c r="D55" i="7" l="1"/>
  <c r="G55" i="7" s="1"/>
  <c r="L55" i="7"/>
  <c r="N55" i="7" s="1"/>
  <c r="F165" i="7"/>
  <c r="D66" i="2"/>
  <c r="G66" i="2" s="1"/>
  <c r="M66" i="2"/>
  <c r="O66" i="2" s="1"/>
  <c r="I66" i="2" l="1"/>
  <c r="J66" i="2" s="1"/>
  <c r="F166" i="7"/>
  <c r="J55" i="7"/>
  <c r="O55" i="7" s="1"/>
  <c r="P55" i="7" s="1"/>
  <c r="B56" i="7" s="1"/>
  <c r="I55" i="7"/>
  <c r="C56" i="7" l="1"/>
  <c r="F167" i="7"/>
  <c r="K66" i="2"/>
  <c r="P66" i="2" s="1"/>
  <c r="Q66" i="2" s="1"/>
  <c r="B67" i="2" s="1"/>
  <c r="C67" i="2" s="1"/>
  <c r="F168" i="7" l="1"/>
  <c r="L56" i="7"/>
  <c r="N56" i="7" s="1"/>
  <c r="D56" i="7"/>
  <c r="G56" i="7" s="1"/>
  <c r="M67" i="2"/>
  <c r="O67" i="2" s="1"/>
  <c r="D67" i="2"/>
  <c r="G67" i="2" s="1"/>
  <c r="I67" i="2" l="1"/>
  <c r="J67" i="2"/>
  <c r="J56" i="7"/>
  <c r="O56" i="7" s="1"/>
  <c r="P56" i="7" s="1"/>
  <c r="B57" i="7" s="1"/>
  <c r="I56" i="7"/>
  <c r="F169" i="7"/>
  <c r="F170" i="7" l="1"/>
  <c r="C57" i="7"/>
  <c r="K67" i="2"/>
  <c r="P67" i="2" s="1"/>
  <c r="Q67" i="2" s="1"/>
  <c r="B68" i="2" s="1"/>
  <c r="C68" i="2" s="1"/>
  <c r="M68" i="2" s="1"/>
  <c r="O68" i="2" s="1"/>
  <c r="L57" i="7" l="1"/>
  <c r="N57" i="7" s="1"/>
  <c r="D57" i="7"/>
  <c r="G57" i="7" s="1"/>
  <c r="F171" i="7"/>
  <c r="D68" i="2"/>
  <c r="G68" i="2" s="1"/>
  <c r="I68" i="2" l="1"/>
  <c r="J68" i="2" s="1"/>
  <c r="J57" i="7"/>
  <c r="O57" i="7" s="1"/>
  <c r="P57" i="7" s="1"/>
  <c r="B58" i="7" s="1"/>
  <c r="I57" i="7"/>
  <c r="F172" i="7"/>
  <c r="K68" i="2"/>
  <c r="P68" i="2" s="1"/>
  <c r="Q68" i="2" s="1"/>
  <c r="B69" i="2" s="1"/>
  <c r="C69" i="2" s="1"/>
  <c r="M69" i="2" s="1"/>
  <c r="O69" i="2" s="1"/>
  <c r="F173" i="7" l="1"/>
  <c r="C58" i="7"/>
  <c r="D69" i="2"/>
  <c r="G69" i="2" s="1"/>
  <c r="I69" i="2" l="1"/>
  <c r="J69" i="2"/>
  <c r="L58" i="7"/>
  <c r="N58" i="7" s="1"/>
  <c r="D58" i="7"/>
  <c r="G58" i="7" s="1"/>
  <c r="F174" i="7"/>
  <c r="K69" i="2"/>
  <c r="P69" i="2" s="1"/>
  <c r="Q69" i="2" s="1"/>
  <c r="B70" i="2" s="1"/>
  <c r="C70" i="2" s="1"/>
  <c r="M70" i="2" s="1"/>
  <c r="O70" i="2" s="1"/>
  <c r="J58" i="7" l="1"/>
  <c r="O58" i="7" s="1"/>
  <c r="P58" i="7" s="1"/>
  <c r="B59" i="7" s="1"/>
  <c r="I58" i="7"/>
  <c r="F175" i="7"/>
  <c r="D70" i="2"/>
  <c r="G70" i="2" s="1"/>
  <c r="I70" i="2" l="1"/>
  <c r="J70" i="2" s="1"/>
  <c r="F176" i="7"/>
  <c r="C59" i="7"/>
  <c r="D59" i="7" l="1"/>
  <c r="G59" i="7" s="1"/>
  <c r="L59" i="7"/>
  <c r="N59" i="7" s="1"/>
  <c r="F177" i="7"/>
  <c r="K70" i="2"/>
  <c r="P70" i="2" s="1"/>
  <c r="Q70" i="2" s="1"/>
  <c r="B71" i="2" s="1"/>
  <c r="C71" i="2" s="1"/>
  <c r="D71" i="2" s="1"/>
  <c r="G71" i="2" s="1"/>
  <c r="I71" i="2" l="1"/>
  <c r="J71" i="2"/>
  <c r="F178" i="7"/>
  <c r="J59" i="7"/>
  <c r="O59" i="7" s="1"/>
  <c r="P59" i="7" s="1"/>
  <c r="B60" i="7" s="1"/>
  <c r="I59" i="7"/>
  <c r="M71" i="2"/>
  <c r="O71" i="2" s="1"/>
  <c r="K71" i="2"/>
  <c r="C60" i="7" l="1"/>
  <c r="F179" i="7"/>
  <c r="P71" i="2"/>
  <c r="Q71" i="2" s="1"/>
  <c r="B72" i="2" s="1"/>
  <c r="C72" i="2" s="1"/>
  <c r="D72" i="2" s="1"/>
  <c r="G72" i="2" s="1"/>
  <c r="I72" i="2" l="1"/>
  <c r="J72" i="2"/>
  <c r="D60" i="7"/>
  <c r="G60" i="7" s="1"/>
  <c r="L60" i="7"/>
  <c r="N60" i="7" s="1"/>
  <c r="F180" i="7"/>
  <c r="M72" i="2"/>
  <c r="O72" i="2" s="1"/>
  <c r="F181" i="7" l="1"/>
  <c r="I60" i="7"/>
  <c r="J60" i="7"/>
  <c r="O60" i="7" s="1"/>
  <c r="P60" i="7" s="1"/>
  <c r="B61" i="7" s="1"/>
  <c r="K72" i="2"/>
  <c r="P72" i="2" s="1"/>
  <c r="Q72" i="2" s="1"/>
  <c r="B73" i="2" s="1"/>
  <c r="C73" i="2" s="1"/>
  <c r="F182" i="7" l="1"/>
  <c r="C61" i="7"/>
  <c r="D73" i="2"/>
  <c r="G73" i="2" s="1"/>
  <c r="M73" i="2"/>
  <c r="O73" i="2" s="1"/>
  <c r="I73" i="2" l="1"/>
  <c r="J73" i="2" s="1"/>
  <c r="D61" i="7"/>
  <c r="G61" i="7" s="1"/>
  <c r="L61" i="7"/>
  <c r="N61" i="7" s="1"/>
  <c r="J61" i="7" l="1"/>
  <c r="O61" i="7" s="1"/>
  <c r="P61" i="7" s="1"/>
  <c r="B62" i="7" s="1"/>
  <c r="I61" i="7"/>
  <c r="K73" i="2"/>
  <c r="P73" i="2" s="1"/>
  <c r="Q73" i="2" s="1"/>
  <c r="B74" i="2" s="1"/>
  <c r="C74" i="2" s="1"/>
  <c r="C62" i="7" l="1"/>
  <c r="D74" i="2"/>
  <c r="G74" i="2" s="1"/>
  <c r="M74" i="2"/>
  <c r="O74" i="2" s="1"/>
  <c r="I74" i="2" l="1"/>
  <c r="J74" i="2"/>
  <c r="L62" i="7"/>
  <c r="N62" i="7" s="1"/>
  <c r="D62" i="7"/>
  <c r="G62" i="7" s="1"/>
  <c r="J62" i="7" l="1"/>
  <c r="O62" i="7" s="1"/>
  <c r="P62" i="7" s="1"/>
  <c r="B63" i="7" s="1"/>
  <c r="I62" i="7"/>
  <c r="K74" i="2"/>
  <c r="P74" i="2" s="1"/>
  <c r="Q74" i="2" s="1"/>
  <c r="B75" i="2" s="1"/>
  <c r="C75" i="2" s="1"/>
  <c r="D75" i="2" s="1"/>
  <c r="G75" i="2" s="1"/>
  <c r="I75" i="2" l="1"/>
  <c r="J75" i="2"/>
  <c r="C63" i="7"/>
  <c r="M75" i="2"/>
  <c r="O75" i="2" s="1"/>
  <c r="L63" i="7" l="1"/>
  <c r="N63" i="7" s="1"/>
  <c r="D63" i="7"/>
  <c r="G63" i="7" s="1"/>
  <c r="K75" i="2"/>
  <c r="P75" i="2" s="1"/>
  <c r="Q75" i="2" s="1"/>
  <c r="B76" i="2" s="1"/>
  <c r="C76" i="2" s="1"/>
  <c r="D76" i="2" s="1"/>
  <c r="G76" i="2" s="1"/>
  <c r="I76" i="2" l="1"/>
  <c r="J76" i="2"/>
  <c r="J63" i="7"/>
  <c r="O63" i="7" s="1"/>
  <c r="P63" i="7" s="1"/>
  <c r="B64" i="7" s="1"/>
  <c r="I63" i="7"/>
  <c r="M76" i="2"/>
  <c r="O76" i="2" s="1"/>
  <c r="C64" i="7" l="1"/>
  <c r="K76" i="2"/>
  <c r="P76" i="2" s="1"/>
  <c r="Q76" i="2" s="1"/>
  <c r="B77" i="2" s="1"/>
  <c r="C77" i="2" s="1"/>
  <c r="D77" i="2" s="1"/>
  <c r="G77" i="2" s="1"/>
  <c r="I77" i="2" l="1"/>
  <c r="J77" i="2"/>
  <c r="L64" i="7"/>
  <c r="N64" i="7" s="1"/>
  <c r="D64" i="7"/>
  <c r="G64" i="7" s="1"/>
  <c r="M77" i="2"/>
  <c r="O77" i="2" s="1"/>
  <c r="J64" i="7" l="1"/>
  <c r="O64" i="7" s="1"/>
  <c r="P64" i="7" s="1"/>
  <c r="B65" i="7" s="1"/>
  <c r="I64" i="7"/>
  <c r="K77" i="2"/>
  <c r="P77" i="2" s="1"/>
  <c r="Q77" i="2" s="1"/>
  <c r="B78" i="2" s="1"/>
  <c r="C78" i="2" s="1"/>
  <c r="C65" i="7" l="1"/>
  <c r="D78" i="2"/>
  <c r="G78" i="2" s="1"/>
  <c r="M78" i="2"/>
  <c r="O78" i="2" s="1"/>
  <c r="I78" i="2" l="1"/>
  <c r="J78" i="2"/>
  <c r="D65" i="7"/>
  <c r="G65" i="7" s="1"/>
  <c r="L65" i="7"/>
  <c r="N65" i="7" s="1"/>
  <c r="J65" i="7" l="1"/>
  <c r="O65" i="7" s="1"/>
  <c r="P65" i="7" s="1"/>
  <c r="B66" i="7" s="1"/>
  <c r="I65" i="7"/>
  <c r="K78" i="2"/>
  <c r="P78" i="2" s="1"/>
  <c r="Q78" i="2" s="1"/>
  <c r="B79" i="2" s="1"/>
  <c r="C79" i="2" s="1"/>
  <c r="C66" i="7" l="1"/>
  <c r="M79" i="2"/>
  <c r="O79" i="2" s="1"/>
  <c r="D79" i="2"/>
  <c r="G79" i="2" s="1"/>
  <c r="I79" i="2" l="1"/>
  <c r="J79" i="2" s="1"/>
  <c r="D66" i="7"/>
  <c r="G66" i="7" s="1"/>
  <c r="L66" i="7"/>
  <c r="N66" i="7" s="1"/>
  <c r="I66" i="7" l="1"/>
  <c r="J66" i="7"/>
  <c r="O66" i="7" s="1"/>
  <c r="P66" i="7" s="1"/>
  <c r="B67" i="7" s="1"/>
  <c r="K79" i="2"/>
  <c r="P79" i="2" s="1"/>
  <c r="Q79" i="2" s="1"/>
  <c r="B80" i="2" s="1"/>
  <c r="C80" i="2" s="1"/>
  <c r="M80" i="2" s="1"/>
  <c r="O80" i="2" s="1"/>
  <c r="C67" i="7" l="1"/>
  <c r="D80" i="2"/>
  <c r="G80" i="2" s="1"/>
  <c r="I80" i="2" l="1"/>
  <c r="J80" i="2"/>
  <c r="D67" i="7"/>
  <c r="G67" i="7" s="1"/>
  <c r="L67" i="7"/>
  <c r="N67" i="7" s="1"/>
  <c r="K80" i="2"/>
  <c r="P80" i="2" s="1"/>
  <c r="Q80" i="2" s="1"/>
  <c r="B81" i="2" s="1"/>
  <c r="C81" i="2" s="1"/>
  <c r="M81" i="2" s="1"/>
  <c r="O81" i="2" s="1"/>
  <c r="J67" i="7" l="1"/>
  <c r="O67" i="7" s="1"/>
  <c r="P67" i="7" s="1"/>
  <c r="B68" i="7" s="1"/>
  <c r="I67" i="7"/>
  <c r="D81" i="2"/>
  <c r="G81" i="2" s="1"/>
  <c r="I81" i="2" l="1"/>
  <c r="J81" i="2" s="1"/>
  <c r="C68" i="7"/>
  <c r="K81" i="2"/>
  <c r="P81" i="2" s="1"/>
  <c r="Q81" i="2" s="1"/>
  <c r="B82" i="2" s="1"/>
  <c r="C82" i="2" s="1"/>
  <c r="M82" i="2" s="1"/>
  <c r="O82" i="2" s="1"/>
  <c r="L68" i="7" l="1"/>
  <c r="N68" i="7" s="1"/>
  <c r="D68" i="7"/>
  <c r="G68" i="7" s="1"/>
  <c r="D82" i="2"/>
  <c r="G82" i="2" s="1"/>
  <c r="I82" i="2" l="1"/>
  <c r="J82" i="2"/>
  <c r="J68" i="7"/>
  <c r="O68" i="7" s="1"/>
  <c r="P68" i="7" s="1"/>
  <c r="B69" i="7" s="1"/>
  <c r="I68" i="7"/>
  <c r="C69" i="7" l="1"/>
  <c r="K82" i="2"/>
  <c r="P82" i="2" s="1"/>
  <c r="Q82" i="2" s="1"/>
  <c r="B83" i="2" s="1"/>
  <c r="C83" i="2" s="1"/>
  <c r="D83" i="2" s="1"/>
  <c r="G83" i="2" s="1"/>
  <c r="I83" i="2" l="1"/>
  <c r="J83" i="2"/>
  <c r="L69" i="7"/>
  <c r="N69" i="7" s="1"/>
  <c r="D69" i="7"/>
  <c r="G69" i="7" s="1"/>
  <c r="M83" i="2"/>
  <c r="O83" i="2" s="1"/>
  <c r="K83" i="2"/>
  <c r="J69" i="7" l="1"/>
  <c r="O69" i="7" s="1"/>
  <c r="P69" i="7" s="1"/>
  <c r="B70" i="7" s="1"/>
  <c r="I69" i="7"/>
  <c r="P83" i="2"/>
  <c r="Q83" i="2" s="1"/>
  <c r="B84" i="2" s="1"/>
  <c r="C84" i="2" s="1"/>
  <c r="D84" i="2" s="1"/>
  <c r="G84" i="2" s="1"/>
  <c r="I84" i="2" l="1"/>
  <c r="J84" i="2" s="1"/>
  <c r="M84" i="2"/>
  <c r="O84" i="2" s="1"/>
  <c r="C70" i="7"/>
  <c r="L70" i="7" l="1"/>
  <c r="N70" i="7" s="1"/>
  <c r="D70" i="7"/>
  <c r="G70" i="7" s="1"/>
  <c r="K84" i="2"/>
  <c r="P84" i="2" s="1"/>
  <c r="Q84" i="2" s="1"/>
  <c r="B85" i="2" s="1"/>
  <c r="C85" i="2" s="1"/>
  <c r="J70" i="7" l="1"/>
  <c r="O70" i="7" s="1"/>
  <c r="P70" i="7" s="1"/>
  <c r="B71" i="7" s="1"/>
  <c r="I70" i="7"/>
  <c r="D85" i="2"/>
  <c r="G85" i="2" s="1"/>
  <c r="M85" i="2"/>
  <c r="O85" i="2" s="1"/>
  <c r="I85" i="2" l="1"/>
  <c r="J85" i="2" s="1"/>
  <c r="C71" i="7"/>
  <c r="K85" i="2"/>
  <c r="P85" i="2" s="1"/>
  <c r="Q85" i="2" s="1"/>
  <c r="B86" i="2" s="1"/>
  <c r="L71" i="7" l="1"/>
  <c r="N71" i="7" s="1"/>
  <c r="D71" i="7"/>
  <c r="G71" i="7" s="1"/>
  <c r="C86" i="2"/>
  <c r="J71" i="7" l="1"/>
  <c r="O71" i="7" s="1"/>
  <c r="P71" i="7" s="1"/>
  <c r="B72" i="7" s="1"/>
  <c r="I71" i="7"/>
  <c r="D86" i="2"/>
  <c r="G86" i="2" s="1"/>
  <c r="M86" i="2"/>
  <c r="O86" i="2" s="1"/>
  <c r="I86" i="2" l="1"/>
  <c r="J86" i="2"/>
  <c r="C72" i="7"/>
  <c r="L72" i="7" l="1"/>
  <c r="N72" i="7" s="1"/>
  <c r="D72" i="7"/>
  <c r="G72" i="7" s="1"/>
  <c r="K86" i="2"/>
  <c r="P86" i="2" s="1"/>
  <c r="Q86" i="2" s="1"/>
  <c r="B87" i="2" s="1"/>
  <c r="C87" i="2" s="1"/>
  <c r="J72" i="7" l="1"/>
  <c r="O72" i="7" s="1"/>
  <c r="P72" i="7" s="1"/>
  <c r="B73" i="7" s="1"/>
  <c r="I72" i="7"/>
  <c r="D87" i="2"/>
  <c r="G87" i="2" s="1"/>
  <c r="M87" i="2"/>
  <c r="O87" i="2" s="1"/>
  <c r="I87" i="2" l="1"/>
  <c r="J87" i="2" s="1"/>
  <c r="C73" i="7"/>
  <c r="L73" i="7" l="1"/>
  <c r="N73" i="7" s="1"/>
  <c r="D73" i="7"/>
  <c r="G73" i="7" s="1"/>
  <c r="K87" i="2"/>
  <c r="P87" i="2" s="1"/>
  <c r="Q87" i="2" s="1"/>
  <c r="B88" i="2" s="1"/>
  <c r="C88" i="2" s="1"/>
  <c r="I73" i="7" l="1"/>
  <c r="J73" i="7"/>
  <c r="O73" i="7" s="1"/>
  <c r="P73" i="7" s="1"/>
  <c r="B74" i="7" s="1"/>
  <c r="D88" i="2"/>
  <c r="G88" i="2" s="1"/>
  <c r="M88" i="2"/>
  <c r="O88" i="2" s="1"/>
  <c r="I88" i="2" l="1"/>
  <c r="J88" i="2" s="1"/>
  <c r="C74" i="7"/>
  <c r="L74" i="7" l="1"/>
  <c r="N74" i="7" s="1"/>
  <c r="D74" i="7"/>
  <c r="G74" i="7" s="1"/>
  <c r="K88" i="2"/>
  <c r="P88" i="2" s="1"/>
  <c r="Q88" i="2" s="1"/>
  <c r="B89" i="2" s="1"/>
  <c r="C89" i="2" s="1"/>
  <c r="M89" i="2" s="1"/>
  <c r="O89" i="2" s="1"/>
  <c r="J74" i="7" l="1"/>
  <c r="O74" i="7" s="1"/>
  <c r="P74" i="7" s="1"/>
  <c r="B75" i="7" s="1"/>
  <c r="I74" i="7"/>
  <c r="D89" i="2"/>
  <c r="G89" i="2" s="1"/>
  <c r="I89" i="2" l="1"/>
  <c r="J89" i="2"/>
  <c r="C75" i="7"/>
  <c r="K89" i="2"/>
  <c r="P89" i="2" s="1"/>
  <c r="Q89" i="2" s="1"/>
  <c r="B90" i="2" s="1"/>
  <c r="C90" i="2" s="1"/>
  <c r="D75" i="7" l="1"/>
  <c r="G75" i="7" s="1"/>
  <c r="L75" i="7"/>
  <c r="N75" i="7" s="1"/>
  <c r="D90" i="2"/>
  <c r="G90" i="2" s="1"/>
  <c r="M90" i="2"/>
  <c r="O90" i="2" s="1"/>
  <c r="I90" i="2" l="1"/>
  <c r="J90" i="2"/>
  <c r="J75" i="7"/>
  <c r="O75" i="7" s="1"/>
  <c r="P75" i="7" s="1"/>
  <c r="B76" i="7" s="1"/>
  <c r="I75" i="7"/>
  <c r="K90" i="2"/>
  <c r="P90" i="2" s="1"/>
  <c r="Q90" i="2" s="1"/>
  <c r="B91" i="2" s="1"/>
  <c r="C91" i="2" s="1"/>
  <c r="C76" i="7" l="1"/>
  <c r="M91" i="2"/>
  <c r="O91" i="2" s="1"/>
  <c r="D91" i="2"/>
  <c r="G91" i="2" s="1"/>
  <c r="I91" i="2" l="1"/>
  <c r="J91" i="2"/>
  <c r="L76" i="7"/>
  <c r="N76" i="7" s="1"/>
  <c r="D76" i="7"/>
  <c r="G76" i="7" s="1"/>
  <c r="J76" i="7" l="1"/>
  <c r="O76" i="7" s="1"/>
  <c r="P76" i="7" s="1"/>
  <c r="B77" i="7" s="1"/>
  <c r="I76" i="7"/>
  <c r="K91" i="2"/>
  <c r="P91" i="2" s="1"/>
  <c r="Q91" i="2" s="1"/>
  <c r="B92" i="2" s="1"/>
  <c r="C92" i="2" s="1"/>
  <c r="M92" i="2" s="1"/>
  <c r="O92" i="2" s="1"/>
  <c r="C77" i="7" l="1"/>
  <c r="D92" i="2"/>
  <c r="G92" i="2" s="1"/>
  <c r="I92" i="2" l="1"/>
  <c r="J92" i="2" s="1"/>
  <c r="L77" i="7"/>
  <c r="N77" i="7" s="1"/>
  <c r="D77" i="7"/>
  <c r="G77" i="7" s="1"/>
  <c r="J77" i="7" l="1"/>
  <c r="O77" i="7" s="1"/>
  <c r="P77" i="7" s="1"/>
  <c r="B78" i="7" s="1"/>
  <c r="I77" i="7"/>
  <c r="K92" i="2"/>
  <c r="P92" i="2" s="1"/>
  <c r="Q92" i="2" s="1"/>
  <c r="B93" i="2" s="1"/>
  <c r="C93" i="2" s="1"/>
  <c r="M93" i="2" s="1"/>
  <c r="O93" i="2" s="1"/>
  <c r="C78" i="7" l="1"/>
  <c r="D93" i="2"/>
  <c r="G93" i="2" s="1"/>
  <c r="I93" i="2" l="1"/>
  <c r="J93" i="2"/>
  <c r="L78" i="7"/>
  <c r="N78" i="7" s="1"/>
  <c r="D78" i="7"/>
  <c r="G78" i="7" s="1"/>
  <c r="J78" i="7" l="1"/>
  <c r="O78" i="7" s="1"/>
  <c r="P78" i="7" s="1"/>
  <c r="B79" i="7" s="1"/>
  <c r="I78" i="7"/>
  <c r="K93" i="2"/>
  <c r="P93" i="2" s="1"/>
  <c r="Q93" i="2" s="1"/>
  <c r="B94" i="2" s="1"/>
  <c r="C94" i="2" s="1"/>
  <c r="M94" i="2" s="1"/>
  <c r="O94" i="2" s="1"/>
  <c r="C79" i="7" l="1"/>
  <c r="D94" i="2"/>
  <c r="G94" i="2" s="1"/>
  <c r="L79" i="7" l="1"/>
  <c r="N79" i="7" s="1"/>
  <c r="D79" i="7"/>
  <c r="G79" i="7" s="1"/>
  <c r="I94" i="2"/>
  <c r="J94" i="2" s="1"/>
  <c r="K94" i="2" l="1"/>
  <c r="P94" i="2" s="1"/>
  <c r="Q94" i="2" s="1"/>
  <c r="B95" i="2" s="1"/>
  <c r="C95" i="2" s="1"/>
  <c r="D95" i="2" s="1"/>
  <c r="G95" i="2" s="1"/>
  <c r="I79" i="7"/>
  <c r="J79" i="7"/>
  <c r="O79" i="7" s="1"/>
  <c r="P79" i="7" s="1"/>
  <c r="B80" i="7" s="1"/>
  <c r="I95" i="2" l="1"/>
  <c r="J95" i="2" s="1"/>
  <c r="M95" i="2"/>
  <c r="O95" i="2" s="1"/>
  <c r="K95" i="2"/>
  <c r="P95" i="2" s="1"/>
  <c r="Q95" i="2" s="1"/>
  <c r="B96" i="2" s="1"/>
  <c r="C96" i="2" s="1"/>
  <c r="C80" i="7"/>
  <c r="D96" i="2" l="1"/>
  <c r="G96" i="2" s="1"/>
  <c r="I96" i="2" s="1"/>
  <c r="J96" i="2" s="1"/>
  <c r="M96" i="2"/>
  <c r="O96" i="2" s="1"/>
  <c r="D80" i="7"/>
  <c r="G80" i="7" s="1"/>
  <c r="L80" i="7"/>
  <c r="N80" i="7" s="1"/>
  <c r="K96" i="2" l="1"/>
  <c r="P96" i="2"/>
  <c r="Q96" i="2" s="1"/>
  <c r="B97" i="2" s="1"/>
  <c r="C97" i="2" s="1"/>
  <c r="J80" i="7"/>
  <c r="O80" i="7" s="1"/>
  <c r="P80" i="7" s="1"/>
  <c r="B81" i="7" s="1"/>
  <c r="I80" i="7"/>
  <c r="D97" i="2"/>
  <c r="G97" i="2" s="1"/>
  <c r="M97" i="2"/>
  <c r="O97" i="2" s="1"/>
  <c r="I97" i="2" l="1"/>
  <c r="J97" i="2"/>
  <c r="C81" i="7"/>
  <c r="D81" i="7" l="1"/>
  <c r="G81" i="7" s="1"/>
  <c r="L81" i="7"/>
  <c r="N81" i="7" s="1"/>
  <c r="K97" i="2"/>
  <c r="P97" i="2" s="1"/>
  <c r="Q97" i="2" s="1"/>
  <c r="B98" i="2" s="1"/>
  <c r="C98" i="2" s="1"/>
  <c r="I81" i="7" l="1"/>
  <c r="J81" i="7"/>
  <c r="O81" i="7" s="1"/>
  <c r="P81" i="7" s="1"/>
  <c r="B82" i="7" s="1"/>
  <c r="D98" i="2"/>
  <c r="G98" i="2" s="1"/>
  <c r="M98" i="2"/>
  <c r="O98" i="2" s="1"/>
  <c r="I98" i="2" l="1"/>
  <c r="J98" i="2"/>
  <c r="C82" i="7"/>
  <c r="K98" i="2"/>
  <c r="P98" i="2" s="1"/>
  <c r="Q98" i="2" s="1"/>
  <c r="B99" i="2" s="1"/>
  <c r="C99" i="2" s="1"/>
  <c r="L82" i="7" l="1"/>
  <c r="N82" i="7" s="1"/>
  <c r="D82" i="7"/>
  <c r="G82" i="7" s="1"/>
  <c r="D99" i="2"/>
  <c r="G99" i="2" s="1"/>
  <c r="M99" i="2"/>
  <c r="O99" i="2" s="1"/>
  <c r="I99" i="2" l="1"/>
  <c r="J99" i="2"/>
  <c r="I82" i="7"/>
  <c r="J82" i="7"/>
  <c r="O82" i="7" s="1"/>
  <c r="P82" i="7" s="1"/>
  <c r="B83" i="7" s="1"/>
  <c r="C83" i="7" l="1"/>
  <c r="K99" i="2"/>
  <c r="P99" i="2" s="1"/>
  <c r="Q99" i="2" s="1"/>
  <c r="B100" i="2" s="1"/>
  <c r="C100" i="2" s="1"/>
  <c r="D100" i="2" s="1"/>
  <c r="G100" i="2" s="1"/>
  <c r="I100" i="2" l="1"/>
  <c r="J100" i="2"/>
  <c r="L83" i="7"/>
  <c r="N83" i="7" s="1"/>
  <c r="D83" i="7"/>
  <c r="G83" i="7" s="1"/>
  <c r="M100" i="2"/>
  <c r="O100" i="2" s="1"/>
  <c r="J83" i="7" l="1"/>
  <c r="O83" i="7" s="1"/>
  <c r="P83" i="7" s="1"/>
  <c r="B84" i="7" s="1"/>
  <c r="I83" i="7"/>
  <c r="K100" i="2"/>
  <c r="P100" i="2" s="1"/>
  <c r="Q100" i="2" s="1"/>
  <c r="B101" i="2" s="1"/>
  <c r="C101" i="2" s="1"/>
  <c r="C84" i="7" l="1"/>
  <c r="D101" i="2"/>
  <c r="G101" i="2" s="1"/>
  <c r="M101" i="2"/>
  <c r="O101" i="2" s="1"/>
  <c r="I101" i="2" l="1"/>
  <c r="J101" i="2"/>
  <c r="L84" i="7"/>
  <c r="N84" i="7" s="1"/>
  <c r="D84" i="7"/>
  <c r="G84" i="7" s="1"/>
  <c r="J84" i="7" l="1"/>
  <c r="O84" i="7" s="1"/>
  <c r="P84" i="7" s="1"/>
  <c r="B85" i="7" s="1"/>
  <c r="I84" i="7"/>
  <c r="K101" i="2"/>
  <c r="P101" i="2" s="1"/>
  <c r="Q101" i="2" s="1"/>
  <c r="B102" i="2" s="1"/>
  <c r="C102" i="2" s="1"/>
  <c r="C85" i="7" l="1"/>
  <c r="D102" i="2"/>
  <c r="G102" i="2" s="1"/>
  <c r="M102" i="2"/>
  <c r="O102" i="2" s="1"/>
  <c r="I102" i="2" l="1"/>
  <c r="J102" i="2"/>
  <c r="L85" i="7"/>
  <c r="N85" i="7" s="1"/>
  <c r="D85" i="7"/>
  <c r="G85" i="7" s="1"/>
  <c r="K102" i="2"/>
  <c r="P102" i="2" s="1"/>
  <c r="Q102" i="2" s="1"/>
  <c r="B103" i="2" s="1"/>
  <c r="I85" i="7" l="1"/>
  <c r="J85" i="7"/>
  <c r="O85" i="7" s="1"/>
  <c r="P85" i="7" s="1"/>
  <c r="B86" i="7" s="1"/>
  <c r="C103" i="2"/>
  <c r="C86" i="7" l="1"/>
  <c r="M103" i="2"/>
  <c r="O103" i="2" s="1"/>
  <c r="D103" i="2"/>
  <c r="G103" i="2" s="1"/>
  <c r="I103" i="2" l="1"/>
  <c r="J103" i="2"/>
  <c r="D86" i="7"/>
  <c r="G86" i="7" s="1"/>
  <c r="L86" i="7"/>
  <c r="N86" i="7" s="1"/>
  <c r="I86" i="7" l="1"/>
  <c r="J86" i="7"/>
  <c r="O86" i="7" s="1"/>
  <c r="P86" i="7" s="1"/>
  <c r="B87" i="7" s="1"/>
  <c r="K103" i="2"/>
  <c r="P103" i="2" s="1"/>
  <c r="Q103" i="2" s="1"/>
  <c r="B104" i="2" s="1"/>
  <c r="C104" i="2" s="1"/>
  <c r="M104" i="2" s="1"/>
  <c r="O104" i="2" s="1"/>
  <c r="C87" i="7" l="1"/>
  <c r="D104" i="2"/>
  <c r="G104" i="2" s="1"/>
  <c r="I104" i="2" l="1"/>
  <c r="J104" i="2"/>
  <c r="D87" i="7"/>
  <c r="G87" i="7" s="1"/>
  <c r="L87" i="7"/>
  <c r="N87" i="7" s="1"/>
  <c r="K104" i="2"/>
  <c r="P104" i="2" s="1"/>
  <c r="Q104" i="2" s="1"/>
  <c r="B105" i="2" s="1"/>
  <c r="C105" i="2" s="1"/>
  <c r="M105" i="2" s="1"/>
  <c r="O105" i="2" s="1"/>
  <c r="I87" i="7" l="1"/>
  <c r="J87" i="7"/>
  <c r="O87" i="7" s="1"/>
  <c r="P87" i="7" s="1"/>
  <c r="B88" i="7" s="1"/>
  <c r="D105" i="2"/>
  <c r="G105" i="2" s="1"/>
  <c r="I105" i="2" l="1"/>
  <c r="J105" i="2" s="1"/>
  <c r="C88" i="7"/>
  <c r="K105" i="2"/>
  <c r="P105" i="2" s="1"/>
  <c r="Q105" i="2" s="1"/>
  <c r="B106" i="2" s="1"/>
  <c r="C106" i="2" s="1"/>
  <c r="M106" i="2" s="1"/>
  <c r="O106" i="2" s="1"/>
  <c r="L88" i="7" l="1"/>
  <c r="N88" i="7" s="1"/>
  <c r="D88" i="7"/>
  <c r="G88" i="7" s="1"/>
  <c r="D106" i="2"/>
  <c r="G106" i="2" s="1"/>
  <c r="I106" i="2" l="1"/>
  <c r="J106" i="2"/>
  <c r="J88" i="7"/>
  <c r="O88" i="7" s="1"/>
  <c r="P88" i="7" s="1"/>
  <c r="B89" i="7" s="1"/>
  <c r="I88" i="7"/>
  <c r="C89" i="7" l="1"/>
  <c r="K106" i="2"/>
  <c r="P106" i="2" s="1"/>
  <c r="Q106" i="2" s="1"/>
  <c r="B107" i="2" s="1"/>
  <c r="C107" i="2" s="1"/>
  <c r="D107" i="2" s="1"/>
  <c r="G107" i="2" s="1"/>
  <c r="I107" i="2" l="1"/>
  <c r="J107" i="2"/>
  <c r="L89" i="7"/>
  <c r="N89" i="7" s="1"/>
  <c r="D89" i="7"/>
  <c r="G89" i="7" s="1"/>
  <c r="M107" i="2"/>
  <c r="O107" i="2" s="1"/>
  <c r="J89" i="7" l="1"/>
  <c r="O89" i="7" s="1"/>
  <c r="P89" i="7" s="1"/>
  <c r="B90" i="7" s="1"/>
  <c r="I89" i="7"/>
  <c r="K107" i="2"/>
  <c r="P107" i="2" s="1"/>
  <c r="Q107" i="2" s="1"/>
  <c r="B108" i="2" s="1"/>
  <c r="C108" i="2" s="1"/>
  <c r="C90" i="7" l="1"/>
  <c r="D108" i="2"/>
  <c r="G108" i="2" s="1"/>
  <c r="M108" i="2"/>
  <c r="O108" i="2" s="1"/>
  <c r="I108" i="2" l="1"/>
  <c r="J108" i="2"/>
  <c r="L90" i="7"/>
  <c r="N90" i="7" s="1"/>
  <c r="D90" i="7"/>
  <c r="G90" i="7" s="1"/>
  <c r="K108" i="2"/>
  <c r="P108" i="2" s="1"/>
  <c r="Q108" i="2" s="1"/>
  <c r="B109" i="2" s="1"/>
  <c r="J90" i="7" l="1"/>
  <c r="O90" i="7" s="1"/>
  <c r="P90" i="7" s="1"/>
  <c r="B91" i="7" s="1"/>
  <c r="I90" i="7"/>
  <c r="C109" i="2"/>
  <c r="C91" i="7" l="1"/>
  <c r="D109" i="2"/>
  <c r="G109" i="2" s="1"/>
  <c r="M109" i="2"/>
  <c r="O109" i="2" s="1"/>
  <c r="I109" i="2" l="1"/>
  <c r="J109" i="2"/>
  <c r="D91" i="7"/>
  <c r="G91" i="7" s="1"/>
  <c r="L91" i="7"/>
  <c r="N91" i="7" s="1"/>
  <c r="I91" i="7" l="1"/>
  <c r="J91" i="7"/>
  <c r="O91" i="7" s="1"/>
  <c r="P91" i="7" s="1"/>
  <c r="B92" i="7" s="1"/>
  <c r="K109" i="2"/>
  <c r="P109" i="2" s="1"/>
  <c r="Q109" i="2" s="1"/>
  <c r="B110" i="2" s="1"/>
  <c r="C110" i="2" s="1"/>
  <c r="C92" i="7" l="1"/>
  <c r="M110" i="2"/>
  <c r="O110" i="2" s="1"/>
  <c r="D110" i="2"/>
  <c r="G110" i="2" s="1"/>
  <c r="I110" i="2" l="1"/>
  <c r="J110" i="2"/>
  <c r="D92" i="7"/>
  <c r="G92" i="7" s="1"/>
  <c r="L92" i="7"/>
  <c r="N92" i="7" s="1"/>
  <c r="J92" i="7" l="1"/>
  <c r="O92" i="7" s="1"/>
  <c r="P92" i="7" s="1"/>
  <c r="B93" i="7" s="1"/>
  <c r="I92" i="7"/>
  <c r="K110" i="2"/>
  <c r="P110" i="2" s="1"/>
  <c r="Q110" i="2" s="1"/>
  <c r="B111" i="2" s="1"/>
  <c r="C111" i="2" s="1"/>
  <c r="D111" i="2" s="1"/>
  <c r="G111" i="2" s="1"/>
  <c r="I111" i="2" l="1"/>
  <c r="J111" i="2"/>
  <c r="C93" i="7"/>
  <c r="M111" i="2"/>
  <c r="O111" i="2" s="1"/>
  <c r="D93" i="7" l="1"/>
  <c r="G93" i="7" s="1"/>
  <c r="L93" i="7"/>
  <c r="N93" i="7" s="1"/>
  <c r="K111" i="2"/>
  <c r="P111" i="2" s="1"/>
  <c r="Q111" i="2" s="1"/>
  <c r="B112" i="2" s="1"/>
  <c r="C112" i="2" s="1"/>
  <c r="D112" i="2" s="1"/>
  <c r="G112" i="2" s="1"/>
  <c r="I112" i="2" l="1"/>
  <c r="J112" i="2" s="1"/>
  <c r="J93" i="7"/>
  <c r="O93" i="7" s="1"/>
  <c r="P93" i="7" s="1"/>
  <c r="B94" i="7" s="1"/>
  <c r="I93" i="7"/>
  <c r="M112" i="2"/>
  <c r="O112" i="2" s="1"/>
  <c r="C94" i="7" l="1"/>
  <c r="K112" i="2"/>
  <c r="P112" i="2" s="1"/>
  <c r="Q112" i="2" s="1"/>
  <c r="B113" i="2" s="1"/>
  <c r="C113" i="2" s="1"/>
  <c r="L94" i="7" l="1"/>
  <c r="N94" i="7" s="1"/>
  <c r="D94" i="7"/>
  <c r="G94" i="7" s="1"/>
  <c r="D113" i="2"/>
  <c r="G113" i="2" s="1"/>
  <c r="M113" i="2"/>
  <c r="O113" i="2" s="1"/>
  <c r="I113" i="2" l="1"/>
  <c r="J113" i="2"/>
  <c r="J94" i="7"/>
  <c r="O94" i="7" s="1"/>
  <c r="P94" i="7" s="1"/>
  <c r="B95" i="7" s="1"/>
  <c r="I94" i="7"/>
  <c r="C95" i="7" l="1"/>
  <c r="K113" i="2"/>
  <c r="P113" i="2" s="1"/>
  <c r="Q113" i="2" s="1"/>
  <c r="B114" i="2" s="1"/>
  <c r="C114" i="2" s="1"/>
  <c r="L95" i="7" l="1"/>
  <c r="N95" i="7" s="1"/>
  <c r="D95" i="7"/>
  <c r="G95" i="7" s="1"/>
  <c r="D114" i="2"/>
  <c r="G114" i="2" s="1"/>
  <c r="M114" i="2"/>
  <c r="O114" i="2" s="1"/>
  <c r="I114" i="2" l="1"/>
  <c r="J114" i="2" s="1"/>
  <c r="J95" i="7"/>
  <c r="O95" i="7" s="1"/>
  <c r="P95" i="7" s="1"/>
  <c r="B96" i="7" s="1"/>
  <c r="I95" i="7"/>
  <c r="C96" i="7" l="1"/>
  <c r="K114" i="2"/>
  <c r="P114" i="2" s="1"/>
  <c r="Q114" i="2" s="1"/>
  <c r="B115" i="2" s="1"/>
  <c r="C115" i="2" s="1"/>
  <c r="D96" i="7" l="1"/>
  <c r="G96" i="7" s="1"/>
  <c r="L96" i="7"/>
  <c r="N96" i="7" s="1"/>
  <c r="M115" i="2"/>
  <c r="O115" i="2" s="1"/>
  <c r="D115" i="2"/>
  <c r="G115" i="2" s="1"/>
  <c r="I115" i="2" l="1"/>
  <c r="J115" i="2"/>
  <c r="J96" i="7"/>
  <c r="O96" i="7" s="1"/>
  <c r="P96" i="7" s="1"/>
  <c r="B97" i="7" s="1"/>
  <c r="I96" i="7"/>
  <c r="C97" i="7" l="1"/>
  <c r="K115" i="2"/>
  <c r="P115" i="2" s="1"/>
  <c r="Q115" i="2" s="1"/>
  <c r="B116" i="2" s="1"/>
  <c r="C116" i="2" s="1"/>
  <c r="M116" i="2" s="1"/>
  <c r="O116" i="2" s="1"/>
  <c r="D97" i="7" l="1"/>
  <c r="G97" i="7" s="1"/>
  <c r="L97" i="7"/>
  <c r="N97" i="7" s="1"/>
  <c r="D116" i="2"/>
  <c r="G116" i="2" s="1"/>
  <c r="I116" i="2" l="1"/>
  <c r="J116" i="2"/>
  <c r="I97" i="7"/>
  <c r="J97" i="7"/>
  <c r="O97" i="7" s="1"/>
  <c r="P97" i="7" s="1"/>
  <c r="B98" i="7" s="1"/>
  <c r="K116" i="2"/>
  <c r="P116" i="2" s="1"/>
  <c r="Q116" i="2" s="1"/>
  <c r="B117" i="2" s="1"/>
  <c r="C117" i="2" s="1"/>
  <c r="M117" i="2" s="1"/>
  <c r="O117" i="2" s="1"/>
  <c r="C98" i="7" l="1"/>
  <c r="D117" i="2"/>
  <c r="G117" i="2" s="1"/>
  <c r="I117" i="2" l="1"/>
  <c r="J117" i="2" s="1"/>
  <c r="D98" i="7"/>
  <c r="G98" i="7" s="1"/>
  <c r="L98" i="7"/>
  <c r="N98" i="7" s="1"/>
  <c r="K117" i="2"/>
  <c r="P117" i="2" s="1"/>
  <c r="Q117" i="2" s="1"/>
  <c r="B118" i="2" s="1"/>
  <c r="C118" i="2" s="1"/>
  <c r="J98" i="7" l="1"/>
  <c r="O98" i="7" s="1"/>
  <c r="P98" i="7" s="1"/>
  <c r="B99" i="7" s="1"/>
  <c r="I98" i="7"/>
  <c r="M118" i="2"/>
  <c r="O118" i="2" s="1"/>
  <c r="D118" i="2"/>
  <c r="G118" i="2" s="1"/>
  <c r="I118" i="2" l="1"/>
  <c r="J118" i="2"/>
  <c r="C99" i="7"/>
  <c r="D99" i="7" l="1"/>
  <c r="G99" i="7" s="1"/>
  <c r="L99" i="7"/>
  <c r="N99" i="7" s="1"/>
  <c r="K118" i="2"/>
  <c r="P118" i="2" s="1"/>
  <c r="Q118" i="2" s="1"/>
  <c r="B119" i="2" s="1"/>
  <c r="C119" i="2" s="1"/>
  <c r="M119" i="2" s="1"/>
  <c r="O119" i="2" s="1"/>
  <c r="I99" i="7" l="1"/>
  <c r="J99" i="7"/>
  <c r="O99" i="7" s="1"/>
  <c r="P99" i="7" s="1"/>
  <c r="B100" i="7" s="1"/>
  <c r="D119" i="2"/>
  <c r="G119" i="2" s="1"/>
  <c r="I119" i="2" l="1"/>
  <c r="J119" i="2" s="1"/>
  <c r="C100" i="7"/>
  <c r="K119" i="2"/>
  <c r="P119" i="2" s="1"/>
  <c r="Q119" i="2" s="1"/>
  <c r="B120" i="2" s="1"/>
  <c r="C120" i="2" s="1"/>
  <c r="M120" i="2" s="1"/>
  <c r="O120" i="2" s="1"/>
  <c r="L100" i="7" l="1"/>
  <c r="N100" i="7" s="1"/>
  <c r="D100" i="7"/>
  <c r="G100" i="7" s="1"/>
  <c r="D120" i="2"/>
  <c r="G120" i="2" s="1"/>
  <c r="I120" i="2" l="1"/>
  <c r="J120" i="2"/>
  <c r="J100" i="7"/>
  <c r="O100" i="7" s="1"/>
  <c r="P100" i="7" s="1"/>
  <c r="B101" i="7" s="1"/>
  <c r="I100" i="7"/>
  <c r="C101" i="7" l="1"/>
  <c r="K120" i="2"/>
  <c r="P120" i="2" s="1"/>
  <c r="Q120" i="2" s="1"/>
  <c r="B121" i="2" s="1"/>
  <c r="C121" i="2" s="1"/>
  <c r="L101" i="7" l="1"/>
  <c r="N101" i="7" s="1"/>
  <c r="D101" i="7"/>
  <c r="G101" i="7" s="1"/>
  <c r="D121" i="2"/>
  <c r="G121" i="2" s="1"/>
  <c r="M121" i="2"/>
  <c r="O121" i="2" s="1"/>
  <c r="I121" i="2" l="1"/>
  <c r="J121" i="2"/>
  <c r="J101" i="7"/>
  <c r="O101" i="7" s="1"/>
  <c r="P101" i="7" s="1"/>
  <c r="B102" i="7" s="1"/>
  <c r="I101" i="7"/>
  <c r="K121" i="2"/>
  <c r="P121" i="2" s="1"/>
  <c r="Q121" i="2" s="1"/>
  <c r="B122" i="2" s="1"/>
  <c r="C122" i="2" s="1"/>
  <c r="M122" i="2" s="1"/>
  <c r="O122" i="2" s="1"/>
  <c r="C102" i="7" l="1"/>
  <c r="D122" i="2"/>
  <c r="G122" i="2" s="1"/>
  <c r="I122" i="2" l="1"/>
  <c r="J122" i="2"/>
  <c r="L102" i="7"/>
  <c r="N102" i="7" s="1"/>
  <c r="D102" i="7"/>
  <c r="G102" i="7" s="1"/>
  <c r="J102" i="7" l="1"/>
  <c r="O102" i="7" s="1"/>
  <c r="P102" i="7" s="1"/>
  <c r="B103" i="7" s="1"/>
  <c r="I102" i="7"/>
  <c r="K122" i="2"/>
  <c r="P122" i="2" s="1"/>
  <c r="Q122" i="2" s="1"/>
  <c r="B123" i="2" s="1"/>
  <c r="C123" i="2" s="1"/>
  <c r="D123" i="2" s="1"/>
  <c r="G123" i="2" s="1"/>
  <c r="C103" i="7" l="1"/>
  <c r="I123" i="2"/>
  <c r="J123" i="2" s="1"/>
  <c r="M123" i="2"/>
  <c r="O123" i="2" s="1"/>
  <c r="D103" i="7" l="1"/>
  <c r="G103" i="7" s="1"/>
  <c r="L103" i="7"/>
  <c r="N103" i="7" s="1"/>
  <c r="K123" i="2"/>
  <c r="P123" i="2" s="1"/>
  <c r="Q123" i="2" s="1"/>
  <c r="B124" i="2" s="1"/>
  <c r="C124" i="2" s="1"/>
  <c r="I103" i="7" l="1"/>
  <c r="J103" i="7"/>
  <c r="O103" i="7" s="1"/>
  <c r="P103" i="7" s="1"/>
  <c r="B104" i="7" s="1"/>
  <c r="M124" i="2"/>
  <c r="O124" i="2" s="1"/>
  <c r="D124" i="2"/>
  <c r="G124" i="2" s="1"/>
  <c r="I124" i="2" l="1"/>
  <c r="J124" i="2"/>
  <c r="C104" i="7"/>
  <c r="K124" i="2"/>
  <c r="P124" i="2" s="1"/>
  <c r="Q124" i="2" s="1"/>
  <c r="B125" i="2" s="1"/>
  <c r="C125" i="2" s="1"/>
  <c r="D104" i="7" l="1"/>
  <c r="G104" i="7" s="1"/>
  <c r="L104" i="7"/>
  <c r="N104" i="7" s="1"/>
  <c r="M125" i="2"/>
  <c r="O125" i="2" s="1"/>
  <c r="D125" i="2"/>
  <c r="G125" i="2" s="1"/>
  <c r="I125" i="2" l="1"/>
  <c r="J125" i="2"/>
  <c r="I104" i="7"/>
  <c r="J104" i="7"/>
  <c r="O104" i="7" s="1"/>
  <c r="P104" i="7" s="1"/>
  <c r="B105" i="7" s="1"/>
  <c r="K125" i="2"/>
  <c r="P125" i="2" s="1"/>
  <c r="Q125" i="2" s="1"/>
  <c r="B126" i="2" s="1"/>
  <c r="C126" i="2" s="1"/>
  <c r="C105" i="7" l="1"/>
  <c r="D126" i="2"/>
  <c r="G126" i="2" s="1"/>
  <c r="M126" i="2"/>
  <c r="O126" i="2" s="1"/>
  <c r="I126" i="2" l="1"/>
  <c r="J126" i="2"/>
  <c r="D105" i="7"/>
  <c r="G105" i="7" s="1"/>
  <c r="L105" i="7"/>
  <c r="N105" i="7" s="1"/>
  <c r="K126" i="2"/>
  <c r="P126" i="2" s="1"/>
  <c r="Q126" i="2" s="1"/>
  <c r="B127" i="2" s="1"/>
  <c r="C127" i="2" s="1"/>
  <c r="J105" i="7" l="1"/>
  <c r="O105" i="7" s="1"/>
  <c r="P105" i="7" s="1"/>
  <c r="B106" i="7" s="1"/>
  <c r="I105" i="7"/>
  <c r="D127" i="2"/>
  <c r="G127" i="2" s="1"/>
  <c r="M127" i="2"/>
  <c r="O127" i="2" s="1"/>
  <c r="I127" i="2" l="1"/>
  <c r="J127" i="2"/>
  <c r="C106" i="7"/>
  <c r="K127" i="2"/>
  <c r="P127" i="2" s="1"/>
  <c r="Q127" i="2" s="1"/>
  <c r="B128" i="2" s="1"/>
  <c r="C128" i="2" s="1"/>
  <c r="L106" i="7" l="1"/>
  <c r="N106" i="7" s="1"/>
  <c r="D106" i="7"/>
  <c r="G106" i="7" s="1"/>
  <c r="M128" i="2"/>
  <c r="O128" i="2" s="1"/>
  <c r="D128" i="2"/>
  <c r="G128" i="2" s="1"/>
  <c r="I128" i="2" l="1"/>
  <c r="J128" i="2"/>
  <c r="J106" i="7"/>
  <c r="O106" i="7" s="1"/>
  <c r="P106" i="7" s="1"/>
  <c r="B107" i="7" s="1"/>
  <c r="I106" i="7"/>
  <c r="K128" i="2"/>
  <c r="P128" i="2" s="1"/>
  <c r="Q128" i="2" s="1"/>
  <c r="B129" i="2" s="1"/>
  <c r="C129" i="2" s="1"/>
  <c r="C107" i="7" l="1"/>
  <c r="M129" i="2"/>
  <c r="O129" i="2" s="1"/>
  <c r="D129" i="2"/>
  <c r="G129" i="2" s="1"/>
  <c r="I129" i="2" l="1"/>
  <c r="J129" i="2"/>
  <c r="L107" i="7"/>
  <c r="N107" i="7" s="1"/>
  <c r="D107" i="7"/>
  <c r="G107" i="7" s="1"/>
  <c r="K129" i="2"/>
  <c r="P129" i="2" s="1"/>
  <c r="Q129" i="2" s="1"/>
  <c r="B130" i="2" s="1"/>
  <c r="C130" i="2" s="1"/>
  <c r="J107" i="7" l="1"/>
  <c r="O107" i="7" s="1"/>
  <c r="P107" i="7" s="1"/>
  <c r="B108" i="7" s="1"/>
  <c r="I107" i="7"/>
  <c r="D130" i="2"/>
  <c r="G130" i="2" s="1"/>
  <c r="M130" i="2"/>
  <c r="O130" i="2" s="1"/>
  <c r="I130" i="2" l="1"/>
  <c r="J130" i="2"/>
  <c r="C108" i="7"/>
  <c r="K130" i="2"/>
  <c r="P130" i="2" s="1"/>
  <c r="Q130" i="2" s="1"/>
  <c r="B131" i="2" s="1"/>
  <c r="C131" i="2" s="1"/>
  <c r="L108" i="7" l="1"/>
  <c r="N108" i="7" s="1"/>
  <c r="D108" i="7"/>
  <c r="G108" i="7" s="1"/>
  <c r="M131" i="2"/>
  <c r="O131" i="2" s="1"/>
  <c r="D131" i="2"/>
  <c r="G131" i="2" s="1"/>
  <c r="I131" i="2" l="1"/>
  <c r="J131" i="2"/>
  <c r="J108" i="7"/>
  <c r="O108" i="7" s="1"/>
  <c r="P108" i="7" s="1"/>
  <c r="B109" i="7" s="1"/>
  <c r="I108" i="7"/>
  <c r="K131" i="2"/>
  <c r="P131" i="2" s="1"/>
  <c r="Q131" i="2" s="1"/>
  <c r="B132" i="2" s="1"/>
  <c r="C132" i="2" s="1"/>
  <c r="C109" i="7" l="1"/>
  <c r="D132" i="2"/>
  <c r="G132" i="2" s="1"/>
  <c r="M132" i="2"/>
  <c r="O132" i="2" s="1"/>
  <c r="I132" i="2" l="1"/>
  <c r="J132" i="2" s="1"/>
  <c r="D109" i="7"/>
  <c r="G109" i="7" s="1"/>
  <c r="L109" i="7"/>
  <c r="N109" i="7" s="1"/>
  <c r="K132" i="2"/>
  <c r="P132" i="2" s="1"/>
  <c r="Q132" i="2" s="1"/>
  <c r="B133" i="2" s="1"/>
  <c r="C133" i="2" s="1"/>
  <c r="I109" i="7" l="1"/>
  <c r="J109" i="7"/>
  <c r="O109" i="7" s="1"/>
  <c r="P109" i="7" s="1"/>
  <c r="B110" i="7" s="1"/>
  <c r="M133" i="2"/>
  <c r="O133" i="2" s="1"/>
  <c r="D133" i="2"/>
  <c r="G133" i="2" s="1"/>
  <c r="I133" i="2" l="1"/>
  <c r="J133" i="2"/>
  <c r="C110" i="7"/>
  <c r="K133" i="2"/>
  <c r="P133" i="2" s="1"/>
  <c r="Q133" i="2" s="1"/>
  <c r="B134" i="2" s="1"/>
  <c r="C134" i="2" s="1"/>
  <c r="L110" i="7" l="1"/>
  <c r="N110" i="7" s="1"/>
  <c r="D110" i="7"/>
  <c r="G110" i="7" s="1"/>
  <c r="D134" i="2"/>
  <c r="G134" i="2" s="1"/>
  <c r="M134" i="2"/>
  <c r="O134" i="2" s="1"/>
  <c r="I134" i="2" l="1"/>
  <c r="J134" i="2" s="1"/>
  <c r="J110" i="7"/>
  <c r="O110" i="7" s="1"/>
  <c r="P110" i="7" s="1"/>
  <c r="B111" i="7" s="1"/>
  <c r="I110" i="7"/>
  <c r="K134" i="2"/>
  <c r="P134" i="2" s="1"/>
  <c r="Q134" i="2" s="1"/>
  <c r="B135" i="2" s="1"/>
  <c r="C135" i="2" s="1"/>
  <c r="C111" i="7" l="1"/>
  <c r="M135" i="2"/>
  <c r="O135" i="2" s="1"/>
  <c r="D135" i="2"/>
  <c r="G135" i="2" s="1"/>
  <c r="I135" i="2" l="1"/>
  <c r="J135" i="2" s="1"/>
  <c r="L111" i="7"/>
  <c r="N111" i="7" s="1"/>
  <c r="D111" i="7"/>
  <c r="G111" i="7" s="1"/>
  <c r="K135" i="2"/>
  <c r="P135" i="2" s="1"/>
  <c r="Q135" i="2" s="1"/>
  <c r="B136" i="2" s="1"/>
  <c r="C136" i="2" s="1"/>
  <c r="J111" i="7" l="1"/>
  <c r="O111" i="7" s="1"/>
  <c r="P111" i="7" s="1"/>
  <c r="B112" i="7" s="1"/>
  <c r="I111" i="7"/>
  <c r="M136" i="2"/>
  <c r="O136" i="2" s="1"/>
  <c r="D136" i="2"/>
  <c r="G136" i="2" s="1"/>
  <c r="I136" i="2" l="1"/>
  <c r="J136" i="2"/>
  <c r="C112" i="7"/>
  <c r="K136" i="2"/>
  <c r="P136" i="2" s="1"/>
  <c r="Q136" i="2" s="1"/>
  <c r="B137" i="2" s="1"/>
  <c r="C137" i="2" s="1"/>
  <c r="L112" i="7" l="1"/>
  <c r="N112" i="7" s="1"/>
  <c r="D112" i="7"/>
  <c r="G112" i="7" s="1"/>
  <c r="D137" i="2"/>
  <c r="G137" i="2" s="1"/>
  <c r="M137" i="2"/>
  <c r="O137" i="2" s="1"/>
  <c r="I137" i="2" l="1"/>
  <c r="J137" i="2"/>
  <c r="I112" i="7"/>
  <c r="J112" i="7"/>
  <c r="O112" i="7" s="1"/>
  <c r="P112" i="7" s="1"/>
  <c r="B113" i="7" s="1"/>
  <c r="K137" i="2"/>
  <c r="P137" i="2" s="1"/>
  <c r="Q137" i="2" s="1"/>
  <c r="B138" i="2" s="1"/>
  <c r="C138" i="2" s="1"/>
  <c r="C113" i="7" l="1"/>
  <c r="M138" i="2"/>
  <c r="O138" i="2" s="1"/>
  <c r="D138" i="2"/>
  <c r="G138" i="2" s="1"/>
  <c r="I138" i="2" l="1"/>
  <c r="J138" i="2" s="1"/>
  <c r="D113" i="7"/>
  <c r="G113" i="7" s="1"/>
  <c r="L113" i="7"/>
  <c r="N113" i="7" s="1"/>
  <c r="K138" i="2"/>
  <c r="P138" i="2" s="1"/>
  <c r="Q138" i="2" s="1"/>
  <c r="B139" i="2" s="1"/>
  <c r="C139" i="2" s="1"/>
  <c r="J113" i="7" l="1"/>
  <c r="O113" i="7" s="1"/>
  <c r="P113" i="7" s="1"/>
  <c r="B114" i="7" s="1"/>
  <c r="I113" i="7"/>
  <c r="D139" i="2"/>
  <c r="G139" i="2" s="1"/>
  <c r="M139" i="2"/>
  <c r="O139" i="2" s="1"/>
  <c r="I139" i="2" l="1"/>
  <c r="J139" i="2"/>
  <c r="C114" i="7"/>
  <c r="K139" i="2"/>
  <c r="P139" i="2" s="1"/>
  <c r="Q139" i="2" s="1"/>
  <c r="B140" i="2" s="1"/>
  <c r="C140" i="2" s="1"/>
  <c r="D114" i="7" l="1"/>
  <c r="G114" i="7" s="1"/>
  <c r="L114" i="7"/>
  <c r="N114" i="7" s="1"/>
  <c r="D140" i="2"/>
  <c r="G140" i="2" s="1"/>
  <c r="M140" i="2"/>
  <c r="O140" i="2" s="1"/>
  <c r="I140" i="2" l="1"/>
  <c r="J140" i="2"/>
  <c r="J114" i="7"/>
  <c r="O114" i="7" s="1"/>
  <c r="P114" i="7" s="1"/>
  <c r="B115" i="7" s="1"/>
  <c r="I114" i="7"/>
  <c r="K140" i="2"/>
  <c r="P140" i="2" s="1"/>
  <c r="Q140" i="2" s="1"/>
  <c r="B141" i="2" s="1"/>
  <c r="C141" i="2" s="1"/>
  <c r="C115" i="7" l="1"/>
  <c r="M141" i="2"/>
  <c r="O141" i="2" s="1"/>
  <c r="D141" i="2"/>
  <c r="G141" i="2" s="1"/>
  <c r="I141" i="2" l="1"/>
  <c r="J141" i="2"/>
  <c r="D115" i="7"/>
  <c r="G115" i="7" s="1"/>
  <c r="L115" i="7"/>
  <c r="N115" i="7" s="1"/>
  <c r="K141" i="2"/>
  <c r="P141" i="2" s="1"/>
  <c r="Q141" i="2" s="1"/>
  <c r="B142" i="2" s="1"/>
  <c r="C142" i="2" s="1"/>
  <c r="J115" i="7" l="1"/>
  <c r="O115" i="7" s="1"/>
  <c r="P115" i="7" s="1"/>
  <c r="B116" i="7" s="1"/>
  <c r="I115" i="7"/>
  <c r="D142" i="2"/>
  <c r="G142" i="2" s="1"/>
  <c r="M142" i="2"/>
  <c r="O142" i="2" s="1"/>
  <c r="I142" i="2" l="1"/>
  <c r="J142" i="2"/>
  <c r="C116" i="7"/>
  <c r="K142" i="2"/>
  <c r="P142" i="2" s="1"/>
  <c r="Q142" i="2" s="1"/>
  <c r="B143" i="2" s="1"/>
  <c r="C143" i="2" s="1"/>
  <c r="L116" i="7" l="1"/>
  <c r="N116" i="7" s="1"/>
  <c r="D116" i="7"/>
  <c r="G116" i="7" s="1"/>
  <c r="M143" i="2"/>
  <c r="O143" i="2" s="1"/>
  <c r="D143" i="2"/>
  <c r="G143" i="2" s="1"/>
  <c r="I143" i="2" l="1"/>
  <c r="J143" i="2"/>
  <c r="J116" i="7"/>
  <c r="O116" i="7" s="1"/>
  <c r="P116" i="7" s="1"/>
  <c r="B117" i="7" s="1"/>
  <c r="I116" i="7"/>
  <c r="K143" i="2"/>
  <c r="P143" i="2" s="1"/>
  <c r="Q143" i="2" s="1"/>
  <c r="B144" i="2" s="1"/>
  <c r="C144" i="2" s="1"/>
  <c r="C117" i="7" l="1"/>
  <c r="D144" i="2"/>
  <c r="G144" i="2" s="1"/>
  <c r="M144" i="2"/>
  <c r="O144" i="2" s="1"/>
  <c r="I144" i="2" l="1"/>
  <c r="J144" i="2"/>
  <c r="L117" i="7"/>
  <c r="N117" i="7" s="1"/>
  <c r="D117" i="7"/>
  <c r="G117" i="7" s="1"/>
  <c r="K144" i="2"/>
  <c r="P144" i="2" s="1"/>
  <c r="Q144" i="2" s="1"/>
  <c r="B145" i="2" s="1"/>
  <c r="C145" i="2" s="1"/>
  <c r="J117" i="7" l="1"/>
  <c r="O117" i="7" s="1"/>
  <c r="P117" i="7" s="1"/>
  <c r="B118" i="7" s="1"/>
  <c r="I117" i="7"/>
  <c r="M145" i="2"/>
  <c r="O145" i="2" s="1"/>
  <c r="D145" i="2"/>
  <c r="G145" i="2" s="1"/>
  <c r="I145" i="2" l="1"/>
  <c r="J145" i="2"/>
  <c r="C118" i="7"/>
  <c r="K145" i="2"/>
  <c r="P145" i="2" s="1"/>
  <c r="Q145" i="2" s="1"/>
  <c r="B146" i="2" s="1"/>
  <c r="C146" i="2" s="1"/>
  <c r="L118" i="7" l="1"/>
  <c r="N118" i="7" s="1"/>
  <c r="D118" i="7"/>
  <c r="G118" i="7" s="1"/>
  <c r="D146" i="2"/>
  <c r="G146" i="2" s="1"/>
  <c r="M146" i="2"/>
  <c r="O146" i="2" s="1"/>
  <c r="I146" i="2" l="1"/>
  <c r="J146" i="2"/>
  <c r="I118" i="7"/>
  <c r="J118" i="7"/>
  <c r="O118" i="7" s="1"/>
  <c r="P118" i="7" s="1"/>
  <c r="B119" i="7" s="1"/>
  <c r="K146" i="2"/>
  <c r="P146" i="2" s="1"/>
  <c r="Q146" i="2" s="1"/>
  <c r="B147" i="2" s="1"/>
  <c r="C147" i="2" s="1"/>
  <c r="C119" i="7" l="1"/>
  <c r="M147" i="2"/>
  <c r="O147" i="2" s="1"/>
  <c r="D147" i="2"/>
  <c r="G147" i="2" s="1"/>
  <c r="I147" i="2" l="1"/>
  <c r="J147" i="2"/>
  <c r="L119" i="7"/>
  <c r="N119" i="7" s="1"/>
  <c r="D119" i="7"/>
  <c r="G119" i="7" s="1"/>
  <c r="K147" i="2"/>
  <c r="P147" i="2" s="1"/>
  <c r="Q147" i="2" s="1"/>
  <c r="B148" i="2" s="1"/>
  <c r="C148" i="2" s="1"/>
  <c r="J119" i="7" l="1"/>
  <c r="O119" i="7" s="1"/>
  <c r="P119" i="7" s="1"/>
  <c r="B120" i="7" s="1"/>
  <c r="I119" i="7"/>
  <c r="M148" i="2"/>
  <c r="O148" i="2" s="1"/>
  <c r="D148" i="2"/>
  <c r="G148" i="2" s="1"/>
  <c r="I148" i="2" l="1"/>
  <c r="J148" i="2"/>
  <c r="C120" i="7"/>
  <c r="K148" i="2"/>
  <c r="P148" i="2" s="1"/>
  <c r="Q148" i="2" s="1"/>
  <c r="B149" i="2" s="1"/>
  <c r="C149" i="2" s="1"/>
  <c r="D120" i="7" l="1"/>
  <c r="G120" i="7" s="1"/>
  <c r="L120" i="7"/>
  <c r="N120" i="7" s="1"/>
  <c r="M149" i="2"/>
  <c r="O149" i="2" s="1"/>
  <c r="D149" i="2"/>
  <c r="G149" i="2" s="1"/>
  <c r="I149" i="2" l="1"/>
  <c r="J149" i="2"/>
  <c r="J120" i="7"/>
  <c r="O120" i="7" s="1"/>
  <c r="P120" i="7" s="1"/>
  <c r="B121" i="7" s="1"/>
  <c r="I120" i="7"/>
  <c r="K149" i="2"/>
  <c r="P149" i="2" s="1"/>
  <c r="Q149" i="2" s="1"/>
  <c r="B150" i="2" s="1"/>
  <c r="C150" i="2" s="1"/>
  <c r="C121" i="7" l="1"/>
  <c r="M150" i="2"/>
  <c r="O150" i="2" s="1"/>
  <c r="D150" i="2"/>
  <c r="G150" i="2" s="1"/>
  <c r="I150" i="2" l="1"/>
  <c r="J150" i="2" s="1"/>
  <c r="D121" i="7"/>
  <c r="G121" i="7" s="1"/>
  <c r="L121" i="7"/>
  <c r="N121" i="7" s="1"/>
  <c r="K150" i="2"/>
  <c r="P150" i="2" s="1"/>
  <c r="Q150" i="2" s="1"/>
  <c r="B151" i="2" s="1"/>
  <c r="C151" i="2" s="1"/>
  <c r="J121" i="7" l="1"/>
  <c r="O121" i="7" s="1"/>
  <c r="P121" i="7" s="1"/>
  <c r="B122" i="7" s="1"/>
  <c r="I121" i="7"/>
  <c r="D151" i="2"/>
  <c r="G151" i="2" s="1"/>
  <c r="M151" i="2"/>
  <c r="O151" i="2" s="1"/>
  <c r="I151" i="2" l="1"/>
  <c r="J151" i="2"/>
  <c r="C122" i="7"/>
  <c r="K151" i="2"/>
  <c r="P151" i="2" s="1"/>
  <c r="Q151" i="2" s="1"/>
  <c r="B152" i="2" s="1"/>
  <c r="C152" i="2" s="1"/>
  <c r="D152" i="2" s="1"/>
  <c r="G152" i="2" s="1"/>
  <c r="I152" i="2" l="1"/>
  <c r="J152" i="2" s="1"/>
  <c r="L122" i="7"/>
  <c r="N122" i="7" s="1"/>
  <c r="D122" i="7"/>
  <c r="G122" i="7" s="1"/>
  <c r="M152" i="2"/>
  <c r="O152" i="2" s="1"/>
  <c r="K152" i="2"/>
  <c r="J122" i="7" l="1"/>
  <c r="O122" i="7" s="1"/>
  <c r="P122" i="7" s="1"/>
  <c r="B123" i="7" s="1"/>
  <c r="I122" i="7"/>
  <c r="P152" i="2"/>
  <c r="Q152" i="2" s="1"/>
  <c r="B153" i="2" s="1"/>
  <c r="C153" i="2" s="1"/>
  <c r="M153" i="2" s="1"/>
  <c r="O153" i="2" s="1"/>
  <c r="D153" i="2" l="1"/>
  <c r="G153" i="2" s="1"/>
  <c r="C123" i="7"/>
  <c r="I153" i="2" l="1"/>
  <c r="J153" i="2" s="1"/>
  <c r="K153" i="2"/>
  <c r="P153" i="2" s="1"/>
  <c r="Q153" i="2" s="1"/>
  <c r="B154" i="2" s="1"/>
  <c r="C154" i="2" s="1"/>
  <c r="D154" i="2" s="1"/>
  <c r="G154" i="2" s="1"/>
  <c r="D123" i="7"/>
  <c r="G123" i="7" s="1"/>
  <c r="L123" i="7"/>
  <c r="N123" i="7" s="1"/>
  <c r="M154" i="2" l="1"/>
  <c r="O154" i="2" s="1"/>
  <c r="I154" i="2"/>
  <c r="J154" i="2"/>
  <c r="J123" i="7"/>
  <c r="O123" i="7" s="1"/>
  <c r="P123" i="7" s="1"/>
  <c r="B124" i="7" s="1"/>
  <c r="I123" i="7"/>
  <c r="K154" i="2"/>
  <c r="P154" i="2" s="1"/>
  <c r="Q154" i="2" s="1"/>
  <c r="B155" i="2" s="1"/>
  <c r="C155" i="2" s="1"/>
  <c r="C124" i="7" l="1"/>
  <c r="M155" i="2"/>
  <c r="O155" i="2" s="1"/>
  <c r="D155" i="2"/>
  <c r="G155" i="2" s="1"/>
  <c r="I155" i="2" l="1"/>
  <c r="J155" i="2" s="1"/>
  <c r="L124" i="7"/>
  <c r="N124" i="7" s="1"/>
  <c r="D124" i="7"/>
  <c r="G124" i="7" s="1"/>
  <c r="K155" i="2"/>
  <c r="P155" i="2" s="1"/>
  <c r="Q155" i="2" s="1"/>
  <c r="B156" i="2" s="1"/>
  <c r="C156" i="2" s="1"/>
  <c r="I124" i="7" l="1"/>
  <c r="J124" i="7"/>
  <c r="O124" i="7" s="1"/>
  <c r="P124" i="7" s="1"/>
  <c r="B125" i="7" s="1"/>
  <c r="D156" i="2"/>
  <c r="G156" i="2" s="1"/>
  <c r="M156" i="2"/>
  <c r="O156" i="2" s="1"/>
  <c r="I156" i="2" l="1"/>
  <c r="J156" i="2" s="1"/>
  <c r="C125" i="7"/>
  <c r="K156" i="2" l="1"/>
  <c r="P156" i="2" s="1"/>
  <c r="Q156" i="2" s="1"/>
  <c r="B157" i="2" s="1"/>
  <c r="C157" i="2" s="1"/>
  <c r="D157" i="2" s="1"/>
  <c r="G157" i="2" s="1"/>
  <c r="L125" i="7"/>
  <c r="N125" i="7" s="1"/>
  <c r="D125" i="7"/>
  <c r="G125" i="7" s="1"/>
  <c r="M157" i="2"/>
  <c r="O157" i="2" s="1"/>
  <c r="I157" i="2" l="1"/>
  <c r="J157" i="2"/>
  <c r="J125" i="7"/>
  <c r="O125" i="7" s="1"/>
  <c r="P125" i="7" s="1"/>
  <c r="B126" i="7" s="1"/>
  <c r="I125" i="7"/>
  <c r="K157" i="2"/>
  <c r="P157" i="2" s="1"/>
  <c r="Q157" i="2" s="1"/>
  <c r="B158" i="2" s="1"/>
  <c r="C158" i="2" s="1"/>
  <c r="C126" i="7" l="1"/>
  <c r="D158" i="2"/>
  <c r="G158" i="2" s="1"/>
  <c r="M158" i="2"/>
  <c r="O158" i="2" s="1"/>
  <c r="I158" i="2" l="1"/>
  <c r="J158" i="2"/>
  <c r="D126" i="7"/>
  <c r="G126" i="7" s="1"/>
  <c r="L126" i="7"/>
  <c r="N126" i="7" s="1"/>
  <c r="K158" i="2"/>
  <c r="P158" i="2" s="1"/>
  <c r="Q158" i="2" s="1"/>
  <c r="B159" i="2" s="1"/>
  <c r="C159" i="2" s="1"/>
  <c r="J126" i="7" l="1"/>
  <c r="O126" i="7" s="1"/>
  <c r="P126" i="7" s="1"/>
  <c r="B127" i="7" s="1"/>
  <c r="I126" i="7"/>
  <c r="D159" i="2"/>
  <c r="G159" i="2" s="1"/>
  <c r="M159" i="2"/>
  <c r="O159" i="2" s="1"/>
  <c r="I159" i="2" l="1"/>
  <c r="J159" i="2"/>
  <c r="C127" i="7"/>
  <c r="K159" i="2"/>
  <c r="P159" i="2" s="1"/>
  <c r="Q159" i="2" s="1"/>
  <c r="B160" i="2" s="1"/>
  <c r="C160" i="2" s="1"/>
  <c r="D127" i="7" l="1"/>
  <c r="G127" i="7" s="1"/>
  <c r="L127" i="7"/>
  <c r="N127" i="7" s="1"/>
  <c r="M160" i="2"/>
  <c r="O160" i="2" s="1"/>
  <c r="D160" i="2"/>
  <c r="G160" i="2" s="1"/>
  <c r="I160" i="2" l="1"/>
  <c r="J160" i="2"/>
  <c r="J127" i="7"/>
  <c r="O127" i="7" s="1"/>
  <c r="P127" i="7" s="1"/>
  <c r="B128" i="7" s="1"/>
  <c r="I127" i="7"/>
  <c r="K160" i="2"/>
  <c r="P160" i="2" s="1"/>
  <c r="Q160" i="2" s="1"/>
  <c r="B161" i="2" s="1"/>
  <c r="C161" i="2" s="1"/>
  <c r="C128" i="7" l="1"/>
  <c r="M161" i="2"/>
  <c r="O161" i="2" s="1"/>
  <c r="D161" i="2"/>
  <c r="G161" i="2" s="1"/>
  <c r="I161" i="2" l="1"/>
  <c r="J161" i="2"/>
  <c r="L128" i="7"/>
  <c r="N128" i="7" s="1"/>
  <c r="D128" i="7"/>
  <c r="G128" i="7" s="1"/>
  <c r="K161" i="2"/>
  <c r="P161" i="2" s="1"/>
  <c r="Q161" i="2" s="1"/>
  <c r="B162" i="2" s="1"/>
  <c r="C162" i="2" s="1"/>
  <c r="J128" i="7" l="1"/>
  <c r="O128" i="7" s="1"/>
  <c r="P128" i="7" s="1"/>
  <c r="B129" i="7" s="1"/>
  <c r="I128" i="7"/>
  <c r="M162" i="2"/>
  <c r="O162" i="2" s="1"/>
  <c r="D162" i="2"/>
  <c r="G162" i="2" s="1"/>
  <c r="I162" i="2" l="1"/>
  <c r="J162" i="2"/>
  <c r="C129" i="7"/>
  <c r="K162" i="2"/>
  <c r="P162" i="2" s="1"/>
  <c r="Q162" i="2" s="1"/>
  <c r="B163" i="2" s="1"/>
  <c r="C163" i="2" s="1"/>
  <c r="L129" i="7" l="1"/>
  <c r="N129" i="7" s="1"/>
  <c r="D129" i="7"/>
  <c r="G129" i="7" s="1"/>
  <c r="D163" i="2"/>
  <c r="G163" i="2" s="1"/>
  <c r="M163" i="2"/>
  <c r="O163" i="2" s="1"/>
  <c r="I163" i="2" l="1"/>
  <c r="J163" i="2"/>
  <c r="J129" i="7"/>
  <c r="O129" i="7" s="1"/>
  <c r="P129" i="7" s="1"/>
  <c r="B130" i="7" s="1"/>
  <c r="I129" i="7"/>
  <c r="K163" i="2"/>
  <c r="P163" i="2" s="1"/>
  <c r="Q163" i="2" s="1"/>
  <c r="B164" i="2" s="1"/>
  <c r="C164" i="2" s="1"/>
  <c r="C130" i="7" l="1"/>
  <c r="D164" i="2"/>
  <c r="G164" i="2" s="1"/>
  <c r="M164" i="2"/>
  <c r="O164" i="2" s="1"/>
  <c r="I164" i="2" l="1"/>
  <c r="J164" i="2"/>
  <c r="L130" i="7"/>
  <c r="N130" i="7" s="1"/>
  <c r="D130" i="7"/>
  <c r="G130" i="7" s="1"/>
  <c r="K164" i="2"/>
  <c r="P164" i="2" s="1"/>
  <c r="Q164" i="2" s="1"/>
  <c r="B165" i="2" s="1"/>
  <c r="C165" i="2" s="1"/>
  <c r="J130" i="7" l="1"/>
  <c r="O130" i="7" s="1"/>
  <c r="P130" i="7" s="1"/>
  <c r="B131" i="7" s="1"/>
  <c r="I130" i="7"/>
  <c r="D165" i="2"/>
  <c r="G165" i="2" s="1"/>
  <c r="M165" i="2"/>
  <c r="O165" i="2" s="1"/>
  <c r="I165" i="2" l="1"/>
  <c r="J165" i="2" s="1"/>
  <c r="C131" i="7"/>
  <c r="K165" i="2"/>
  <c r="P165" i="2" s="1"/>
  <c r="Q165" i="2" s="1"/>
  <c r="B166" i="2" s="1"/>
  <c r="C166" i="2" s="1"/>
  <c r="L131" i="7" l="1"/>
  <c r="N131" i="7" s="1"/>
  <c r="D131" i="7"/>
  <c r="G131" i="7" s="1"/>
  <c r="D166" i="2"/>
  <c r="G166" i="2" s="1"/>
  <c r="M166" i="2"/>
  <c r="O166" i="2" s="1"/>
  <c r="I166" i="2" l="1"/>
  <c r="J166" i="2"/>
  <c r="J131" i="7"/>
  <c r="O131" i="7" s="1"/>
  <c r="P131" i="7" s="1"/>
  <c r="B132" i="7" s="1"/>
  <c r="I131" i="7"/>
  <c r="K166" i="2"/>
  <c r="P166" i="2" s="1"/>
  <c r="Q166" i="2" s="1"/>
  <c r="B167" i="2" s="1"/>
  <c r="C167" i="2" s="1"/>
  <c r="C132" i="7" l="1"/>
  <c r="M167" i="2"/>
  <c r="O167" i="2" s="1"/>
  <c r="D167" i="2"/>
  <c r="G167" i="2" s="1"/>
  <c r="I167" i="2" l="1"/>
  <c r="J167" i="2"/>
  <c r="D132" i="7"/>
  <c r="G132" i="7" s="1"/>
  <c r="L132" i="7"/>
  <c r="N132" i="7" s="1"/>
  <c r="K167" i="2"/>
  <c r="P167" i="2" s="1"/>
  <c r="Q167" i="2" s="1"/>
  <c r="B168" i="2" s="1"/>
  <c r="C168" i="2" s="1"/>
  <c r="J132" i="7" l="1"/>
  <c r="O132" i="7" s="1"/>
  <c r="P132" i="7" s="1"/>
  <c r="B133" i="7" s="1"/>
  <c r="I132" i="7"/>
  <c r="D168" i="2"/>
  <c r="G168" i="2" s="1"/>
  <c r="M168" i="2"/>
  <c r="O168" i="2" s="1"/>
  <c r="I168" i="2" l="1"/>
  <c r="J168" i="2" s="1"/>
  <c r="C133" i="7"/>
  <c r="K168" i="2"/>
  <c r="P168" i="2" s="1"/>
  <c r="Q168" i="2" s="1"/>
  <c r="B169" i="2" s="1"/>
  <c r="C169" i="2" s="1"/>
  <c r="D133" i="7" l="1"/>
  <c r="G133" i="7" s="1"/>
  <c r="L133" i="7"/>
  <c r="N133" i="7" s="1"/>
  <c r="D169" i="2"/>
  <c r="G169" i="2" s="1"/>
  <c r="M169" i="2"/>
  <c r="O169" i="2" s="1"/>
  <c r="I169" i="2" l="1"/>
  <c r="J169" i="2"/>
  <c r="I133" i="7"/>
  <c r="J133" i="7"/>
  <c r="O133" i="7" s="1"/>
  <c r="P133" i="7" s="1"/>
  <c r="B134" i="7" s="1"/>
  <c r="K169" i="2"/>
  <c r="P169" i="2" s="1"/>
  <c r="Q169" i="2" s="1"/>
  <c r="B170" i="2" s="1"/>
  <c r="C170" i="2" s="1"/>
  <c r="C134" i="7" l="1"/>
  <c r="M170" i="2"/>
  <c r="O170" i="2" s="1"/>
  <c r="D170" i="2"/>
  <c r="G170" i="2" s="1"/>
  <c r="I170" i="2" l="1"/>
  <c r="J170" i="2"/>
  <c r="L134" i="7"/>
  <c r="N134" i="7" s="1"/>
  <c r="D134" i="7"/>
  <c r="G134" i="7" s="1"/>
  <c r="K170" i="2"/>
  <c r="P170" i="2" s="1"/>
  <c r="Q170" i="2" s="1"/>
  <c r="B171" i="2" s="1"/>
  <c r="J134" i="7" l="1"/>
  <c r="O134" i="7" s="1"/>
  <c r="P134" i="7" s="1"/>
  <c r="B135" i="7" s="1"/>
  <c r="I134" i="7"/>
  <c r="C171" i="2"/>
  <c r="C135" i="7" l="1"/>
  <c r="D171" i="2"/>
  <c r="G171" i="2" s="1"/>
  <c r="M171" i="2"/>
  <c r="O171" i="2" s="1"/>
  <c r="I171" i="2" l="1"/>
  <c r="J171" i="2"/>
  <c r="L135" i="7"/>
  <c r="N135" i="7" s="1"/>
  <c r="D135" i="7"/>
  <c r="G135" i="7" s="1"/>
  <c r="K171" i="2"/>
  <c r="P171" i="2" s="1"/>
  <c r="Q171" i="2" s="1"/>
  <c r="B172" i="2" s="1"/>
  <c r="C172" i="2" s="1"/>
  <c r="J135" i="7" l="1"/>
  <c r="O135" i="7" s="1"/>
  <c r="P135" i="7" s="1"/>
  <c r="B136" i="7" s="1"/>
  <c r="I135" i="7"/>
  <c r="M172" i="2"/>
  <c r="O172" i="2" s="1"/>
  <c r="D172" i="2"/>
  <c r="G172" i="2" s="1"/>
  <c r="I172" i="2" l="1"/>
  <c r="J172" i="2" s="1"/>
  <c r="C136" i="7"/>
  <c r="K172" i="2"/>
  <c r="P172" i="2" s="1"/>
  <c r="Q172" i="2" s="1"/>
  <c r="B173" i="2" s="1"/>
  <c r="C173" i="2" s="1"/>
  <c r="L136" i="7" l="1"/>
  <c r="N136" i="7" s="1"/>
  <c r="D136" i="7"/>
  <c r="G136" i="7" s="1"/>
  <c r="M173" i="2"/>
  <c r="O173" i="2" s="1"/>
  <c r="D173" i="2"/>
  <c r="G173" i="2" s="1"/>
  <c r="I173" i="2" l="1"/>
  <c r="J173" i="2"/>
  <c r="J136" i="7"/>
  <c r="O136" i="7" s="1"/>
  <c r="P136" i="7" s="1"/>
  <c r="B137" i="7" s="1"/>
  <c r="I136" i="7"/>
  <c r="K173" i="2"/>
  <c r="P173" i="2" s="1"/>
  <c r="Q173" i="2" s="1"/>
  <c r="B174" i="2" s="1"/>
  <c r="C174" i="2" s="1"/>
  <c r="C137" i="7" l="1"/>
  <c r="D174" i="2"/>
  <c r="G174" i="2" s="1"/>
  <c r="M174" i="2"/>
  <c r="O174" i="2" s="1"/>
  <c r="I174" i="2" l="1"/>
  <c r="J174" i="2"/>
  <c r="L137" i="7"/>
  <c r="N137" i="7" s="1"/>
  <c r="D137" i="7"/>
  <c r="G137" i="7" s="1"/>
  <c r="K174" i="2"/>
  <c r="P174" i="2" s="1"/>
  <c r="Q174" i="2" s="1"/>
  <c r="B175" i="2" s="1"/>
  <c r="C175" i="2" s="1"/>
  <c r="J137" i="7" l="1"/>
  <c r="O137" i="7" s="1"/>
  <c r="P137" i="7" s="1"/>
  <c r="B138" i="7" s="1"/>
  <c r="I137" i="7"/>
  <c r="D175" i="2"/>
  <c r="G175" i="2" s="1"/>
  <c r="M175" i="2"/>
  <c r="O175" i="2" s="1"/>
  <c r="I175" i="2" l="1"/>
  <c r="J175" i="2"/>
  <c r="C138" i="7"/>
  <c r="K175" i="2"/>
  <c r="P175" i="2" s="1"/>
  <c r="Q175" i="2" s="1"/>
  <c r="B176" i="2" s="1"/>
  <c r="C176" i="2" s="1"/>
  <c r="D138" i="7" l="1"/>
  <c r="G138" i="7" s="1"/>
  <c r="L138" i="7"/>
  <c r="N138" i="7" s="1"/>
  <c r="D176" i="2"/>
  <c r="G176" i="2" s="1"/>
  <c r="M176" i="2"/>
  <c r="O176" i="2" s="1"/>
  <c r="I176" i="2" l="1"/>
  <c r="J176" i="2" s="1"/>
  <c r="J138" i="7"/>
  <c r="O138" i="7" s="1"/>
  <c r="P138" i="7" s="1"/>
  <c r="B139" i="7" s="1"/>
  <c r="I138" i="7"/>
  <c r="K176" i="2"/>
  <c r="P176" i="2" s="1"/>
  <c r="Q176" i="2" s="1"/>
  <c r="B177" i="2" s="1"/>
  <c r="C177" i="2" s="1"/>
  <c r="C139" i="7" l="1"/>
  <c r="M177" i="2"/>
  <c r="O177" i="2" s="1"/>
  <c r="D177" i="2"/>
  <c r="G177" i="2" s="1"/>
  <c r="I177" i="2" l="1"/>
  <c r="J177" i="2"/>
  <c r="D139" i="7"/>
  <c r="G139" i="7" s="1"/>
  <c r="L139" i="7"/>
  <c r="N139" i="7" s="1"/>
  <c r="K177" i="2"/>
  <c r="P177" i="2" s="1"/>
  <c r="Q177" i="2" s="1"/>
  <c r="B178" i="2" s="1"/>
  <c r="C178" i="2" s="1"/>
  <c r="J139" i="7" l="1"/>
  <c r="O139" i="7" s="1"/>
  <c r="P139" i="7" s="1"/>
  <c r="B140" i="7" s="1"/>
  <c r="I139" i="7"/>
  <c r="D178" i="2"/>
  <c r="G178" i="2" s="1"/>
  <c r="M178" i="2"/>
  <c r="O178" i="2" s="1"/>
  <c r="I178" i="2" l="1"/>
  <c r="J178" i="2"/>
  <c r="C140" i="7"/>
  <c r="K178" i="2"/>
  <c r="P178" i="2" s="1"/>
  <c r="Q178" i="2" s="1"/>
  <c r="B179" i="2" s="1"/>
  <c r="L140" i="7" l="1"/>
  <c r="N140" i="7" s="1"/>
  <c r="D140" i="7"/>
  <c r="G140" i="7" s="1"/>
  <c r="C179" i="2"/>
  <c r="J140" i="7" l="1"/>
  <c r="O140" i="7" s="1"/>
  <c r="P140" i="7" s="1"/>
  <c r="B141" i="7" s="1"/>
  <c r="I140" i="7"/>
  <c r="M179" i="2"/>
  <c r="O179" i="2" s="1"/>
  <c r="D179" i="2"/>
  <c r="G179" i="2" s="1"/>
  <c r="I179" i="2" l="1"/>
  <c r="J179" i="2"/>
  <c r="C141" i="7"/>
  <c r="K179" i="2"/>
  <c r="P179" i="2" s="1"/>
  <c r="Q179" i="2" s="1"/>
  <c r="B180" i="2" s="1"/>
  <c r="C180" i="2" s="1"/>
  <c r="L141" i="7" l="1"/>
  <c r="N141" i="7" s="1"/>
  <c r="D141" i="7"/>
  <c r="G141" i="7" s="1"/>
  <c r="M180" i="2"/>
  <c r="O180" i="2" s="1"/>
  <c r="D180" i="2"/>
  <c r="G180" i="2" s="1"/>
  <c r="I180" i="2" l="1"/>
  <c r="J180" i="2"/>
  <c r="J141" i="7"/>
  <c r="O141" i="7" s="1"/>
  <c r="P141" i="7" s="1"/>
  <c r="B142" i="7" s="1"/>
  <c r="I141" i="7"/>
  <c r="K180" i="2"/>
  <c r="P180" i="2" s="1"/>
  <c r="Q180" i="2" s="1"/>
  <c r="B181" i="2" s="1"/>
  <c r="C181" i="2" s="1"/>
  <c r="C142" i="7" l="1"/>
  <c r="M181" i="2"/>
  <c r="O181" i="2" s="1"/>
  <c r="D181" i="2"/>
  <c r="G181" i="2" s="1"/>
  <c r="I181" i="2" l="1"/>
  <c r="J181" i="2"/>
  <c r="L142" i="7"/>
  <c r="N142" i="7" s="1"/>
  <c r="D142" i="7"/>
  <c r="G142" i="7" s="1"/>
  <c r="K181" i="2"/>
  <c r="P181" i="2" s="1"/>
  <c r="Q181" i="2" s="1"/>
  <c r="B182" i="2" s="1"/>
  <c r="C182" i="2" s="1"/>
  <c r="J142" i="7" l="1"/>
  <c r="O142" i="7" s="1"/>
  <c r="P142" i="7" s="1"/>
  <c r="B143" i="7" s="1"/>
  <c r="I142" i="7"/>
  <c r="M182" i="2"/>
  <c r="O182" i="2" s="1"/>
  <c r="D182" i="2"/>
  <c r="G182" i="2" s="1"/>
  <c r="I182" i="2" l="1"/>
  <c r="J182" i="2"/>
  <c r="C143" i="7"/>
  <c r="K182" i="2"/>
  <c r="P182" i="2" s="1"/>
  <c r="Q182" i="2" s="1"/>
  <c r="L143" i="7" l="1"/>
  <c r="N143" i="7" s="1"/>
  <c r="D143" i="7"/>
  <c r="G143" i="7" s="1"/>
  <c r="J143" i="7" l="1"/>
  <c r="O143" i="7" s="1"/>
  <c r="P143" i="7" s="1"/>
  <c r="B144" i="7" s="1"/>
  <c r="I143" i="7"/>
  <c r="C144" i="7" l="1"/>
  <c r="D144" i="7" l="1"/>
  <c r="G144" i="7" s="1"/>
  <c r="L144" i="7"/>
  <c r="N144" i="7" s="1"/>
  <c r="J144" i="7" l="1"/>
  <c r="O144" i="7" s="1"/>
  <c r="P144" i="7" s="1"/>
  <c r="B145" i="7" s="1"/>
  <c r="I144" i="7"/>
  <c r="C145" i="7" l="1"/>
  <c r="D145" i="7" l="1"/>
  <c r="G145" i="7" s="1"/>
  <c r="L145" i="7"/>
  <c r="N145" i="7" s="1"/>
  <c r="I145" i="7" l="1"/>
  <c r="J145" i="7"/>
  <c r="O145" i="7" s="1"/>
  <c r="P145" i="7" s="1"/>
  <c r="B146" i="7" s="1"/>
  <c r="C146" i="7" l="1"/>
  <c r="L146" i="7" l="1"/>
  <c r="N146" i="7" s="1"/>
  <c r="D146" i="7"/>
  <c r="G146" i="7" s="1"/>
  <c r="J146" i="7" l="1"/>
  <c r="O146" i="7" s="1"/>
  <c r="P146" i="7" s="1"/>
  <c r="B147" i="7" s="1"/>
  <c r="I146" i="7"/>
  <c r="C147" i="7" l="1"/>
  <c r="L147" i="7" l="1"/>
  <c r="N147" i="7" s="1"/>
  <c r="D147" i="7"/>
  <c r="G147" i="7" s="1"/>
  <c r="J147" i="7" l="1"/>
  <c r="O147" i="7" s="1"/>
  <c r="P147" i="7" s="1"/>
  <c r="B148" i="7" s="1"/>
  <c r="I147" i="7"/>
  <c r="C148" i="7" l="1"/>
  <c r="L148" i="7" l="1"/>
  <c r="N148" i="7" s="1"/>
  <c r="D148" i="7"/>
  <c r="G148" i="7" s="1"/>
  <c r="J148" i="7" l="1"/>
  <c r="O148" i="7" s="1"/>
  <c r="P148" i="7" s="1"/>
  <c r="B149" i="7" s="1"/>
  <c r="I148" i="7"/>
  <c r="C149" i="7" l="1"/>
  <c r="L149" i="7" l="1"/>
  <c r="N149" i="7" s="1"/>
  <c r="D149" i="7"/>
  <c r="G149" i="7" s="1"/>
  <c r="J149" i="7" l="1"/>
  <c r="O149" i="7" s="1"/>
  <c r="P149" i="7" s="1"/>
  <c r="B150" i="7" s="1"/>
  <c r="I149" i="7"/>
  <c r="C150" i="7" l="1"/>
  <c r="D150" i="7" l="1"/>
  <c r="G150" i="7" s="1"/>
  <c r="L150" i="7"/>
  <c r="N150" i="7" s="1"/>
  <c r="J150" i="7" l="1"/>
  <c r="O150" i="7" s="1"/>
  <c r="P150" i="7" s="1"/>
  <c r="B151" i="7" s="1"/>
  <c r="I150" i="7"/>
  <c r="C151" i="7" l="1"/>
  <c r="D151" i="7" l="1"/>
  <c r="G151" i="7" s="1"/>
  <c r="L151" i="7"/>
  <c r="N151" i="7" s="1"/>
  <c r="J151" i="7" l="1"/>
  <c r="O151" i="7" s="1"/>
  <c r="P151" i="7" s="1"/>
  <c r="B152" i="7" s="1"/>
  <c r="I151" i="7"/>
  <c r="C152" i="7" l="1"/>
  <c r="L152" i="7" l="1"/>
  <c r="N152" i="7" s="1"/>
  <c r="D152" i="7"/>
  <c r="G152" i="7" s="1"/>
  <c r="J152" i="7" l="1"/>
  <c r="O152" i="7" s="1"/>
  <c r="P152" i="7" s="1"/>
  <c r="B153" i="7" s="1"/>
  <c r="I152" i="7"/>
  <c r="C153" i="7" l="1"/>
  <c r="L153" i="7" l="1"/>
  <c r="N153" i="7" s="1"/>
  <c r="D153" i="7"/>
  <c r="G153" i="7" s="1"/>
  <c r="J153" i="7" l="1"/>
  <c r="O153" i="7" s="1"/>
  <c r="P153" i="7" s="1"/>
  <c r="B154" i="7" s="1"/>
  <c r="I153" i="7"/>
  <c r="C154" i="7" l="1"/>
  <c r="L154" i="7" l="1"/>
  <c r="N154" i="7" s="1"/>
  <c r="D154" i="7"/>
  <c r="G154" i="7" s="1"/>
  <c r="J154" i="7" l="1"/>
  <c r="O154" i="7" s="1"/>
  <c r="P154" i="7" s="1"/>
  <c r="B155" i="7" s="1"/>
  <c r="I154" i="7"/>
  <c r="C155" i="7" l="1"/>
  <c r="D155" i="7" l="1"/>
  <c r="G155" i="7" s="1"/>
  <c r="L155" i="7"/>
  <c r="N155" i="7" s="1"/>
  <c r="J155" i="7" l="1"/>
  <c r="O155" i="7" s="1"/>
  <c r="P155" i="7" s="1"/>
  <c r="B156" i="7" s="1"/>
  <c r="I155" i="7"/>
  <c r="C156" i="7" l="1"/>
  <c r="D156" i="7" l="1"/>
  <c r="G156" i="7" s="1"/>
  <c r="L156" i="7"/>
  <c r="N156" i="7" s="1"/>
  <c r="J156" i="7" l="1"/>
  <c r="O156" i="7" s="1"/>
  <c r="P156" i="7" s="1"/>
  <c r="B157" i="7" s="1"/>
  <c r="I156" i="7"/>
  <c r="C157" i="7" l="1"/>
  <c r="D157" i="7" l="1"/>
  <c r="G157" i="7" s="1"/>
  <c r="L157" i="7"/>
  <c r="N157" i="7" s="1"/>
  <c r="I157" i="7" l="1"/>
  <c r="J157" i="7"/>
  <c r="O157" i="7" s="1"/>
  <c r="P157" i="7" s="1"/>
  <c r="B158" i="7" s="1"/>
  <c r="C158" i="7" l="1"/>
  <c r="L158" i="7" l="1"/>
  <c r="N158" i="7" s="1"/>
  <c r="D158" i="7"/>
  <c r="G158" i="7" s="1"/>
  <c r="J158" i="7" l="1"/>
  <c r="O158" i="7" s="1"/>
  <c r="P158" i="7" s="1"/>
  <c r="B159" i="7" s="1"/>
  <c r="I158" i="7"/>
  <c r="C159" i="7" l="1"/>
  <c r="L159" i="7" l="1"/>
  <c r="N159" i="7" s="1"/>
  <c r="D159" i="7"/>
  <c r="G159" i="7" s="1"/>
  <c r="J159" i="7" l="1"/>
  <c r="O159" i="7" s="1"/>
  <c r="P159" i="7" s="1"/>
  <c r="B160" i="7" s="1"/>
  <c r="I159" i="7"/>
  <c r="C160" i="7" l="1"/>
  <c r="L160" i="7" l="1"/>
  <c r="N160" i="7" s="1"/>
  <c r="D160" i="7"/>
  <c r="G160" i="7" s="1"/>
  <c r="J160" i="7" l="1"/>
  <c r="O160" i="7" s="1"/>
  <c r="P160" i="7" s="1"/>
  <c r="B161" i="7" s="1"/>
  <c r="I160" i="7"/>
  <c r="C161" i="7" l="1"/>
  <c r="D161" i="7" l="1"/>
  <c r="G161" i="7" s="1"/>
  <c r="L161" i="7"/>
  <c r="N161" i="7" s="1"/>
  <c r="J161" i="7" l="1"/>
  <c r="O161" i="7" s="1"/>
  <c r="P161" i="7" s="1"/>
  <c r="B162" i="7" s="1"/>
  <c r="I161" i="7"/>
  <c r="C162" i="7" l="1"/>
  <c r="D162" i="7" l="1"/>
  <c r="G162" i="7" s="1"/>
  <c r="L162" i="7"/>
  <c r="N162" i="7" s="1"/>
  <c r="J162" i="7" l="1"/>
  <c r="O162" i="7" s="1"/>
  <c r="P162" i="7" s="1"/>
  <c r="B163" i="7" s="1"/>
  <c r="I162" i="7"/>
  <c r="C163" i="7" l="1"/>
  <c r="D163" i="7" l="1"/>
  <c r="G163" i="7" s="1"/>
  <c r="L163" i="7"/>
  <c r="N163" i="7" s="1"/>
  <c r="I163" i="7" l="1"/>
  <c r="J163" i="7"/>
  <c r="O163" i="7" s="1"/>
  <c r="P163" i="7" s="1"/>
  <c r="B164" i="7" s="1"/>
  <c r="C164" i="7" l="1"/>
  <c r="L164" i="7" l="1"/>
  <c r="N164" i="7" s="1"/>
  <c r="D164" i="7"/>
  <c r="G164" i="7" s="1"/>
  <c r="J164" i="7" l="1"/>
  <c r="O164" i="7" s="1"/>
  <c r="P164" i="7" s="1"/>
  <c r="B165" i="7" s="1"/>
  <c r="I164" i="7"/>
  <c r="C165" i="7" l="1"/>
  <c r="L165" i="7" l="1"/>
  <c r="N165" i="7" s="1"/>
  <c r="D165" i="7"/>
  <c r="G165" i="7" s="1"/>
  <c r="J165" i="7" l="1"/>
  <c r="O165" i="7" s="1"/>
  <c r="P165" i="7" s="1"/>
  <c r="B166" i="7" s="1"/>
  <c r="I165" i="7"/>
  <c r="C166" i="7" l="1"/>
  <c r="L166" i="7" l="1"/>
  <c r="N166" i="7" s="1"/>
  <c r="D166" i="7"/>
  <c r="G166" i="7" s="1"/>
  <c r="J166" i="7" l="1"/>
  <c r="O166" i="7" s="1"/>
  <c r="P166" i="7" s="1"/>
  <c r="B167" i="7" s="1"/>
  <c r="I166" i="7"/>
  <c r="C167" i="7" l="1"/>
  <c r="D167" i="7" l="1"/>
  <c r="G167" i="7" s="1"/>
  <c r="L167" i="7"/>
  <c r="N167" i="7" s="1"/>
  <c r="J167" i="7" l="1"/>
  <c r="O167" i="7" s="1"/>
  <c r="P167" i="7" s="1"/>
  <c r="B168" i="7" s="1"/>
  <c r="I167" i="7"/>
  <c r="C168" i="7" l="1"/>
  <c r="D168" i="7" l="1"/>
  <c r="G168" i="7" s="1"/>
  <c r="L168" i="7"/>
  <c r="N168" i="7" s="1"/>
  <c r="J168" i="7" l="1"/>
  <c r="O168" i="7" s="1"/>
  <c r="P168" i="7" s="1"/>
  <c r="B169" i="7" s="1"/>
  <c r="I168" i="7"/>
  <c r="C169" i="7" l="1"/>
  <c r="D169" i="7" l="1"/>
  <c r="G169" i="7" s="1"/>
  <c r="L169" i="7"/>
  <c r="N169" i="7" s="1"/>
  <c r="I169" i="7" l="1"/>
  <c r="J169" i="7"/>
  <c r="O169" i="7" s="1"/>
  <c r="P169" i="7" s="1"/>
  <c r="B170" i="7" s="1"/>
  <c r="C170" i="7" l="1"/>
  <c r="L170" i="7" l="1"/>
  <c r="N170" i="7" s="1"/>
  <c r="D170" i="7"/>
  <c r="G170" i="7" s="1"/>
  <c r="J170" i="7" l="1"/>
  <c r="O170" i="7" s="1"/>
  <c r="P170" i="7" s="1"/>
  <c r="B171" i="7" s="1"/>
  <c r="I170" i="7"/>
  <c r="C171" i="7" l="1"/>
  <c r="L171" i="7" l="1"/>
  <c r="N171" i="7" s="1"/>
  <c r="D171" i="7"/>
  <c r="G171" i="7" s="1"/>
  <c r="J171" i="7" l="1"/>
  <c r="O171" i="7" s="1"/>
  <c r="P171" i="7" s="1"/>
  <c r="B172" i="7" s="1"/>
  <c r="I171" i="7"/>
  <c r="C172" i="7" l="1"/>
  <c r="L172" i="7" l="1"/>
  <c r="N172" i="7" s="1"/>
  <c r="D172" i="7"/>
  <c r="G172" i="7" s="1"/>
  <c r="J172" i="7" l="1"/>
  <c r="O172" i="7" s="1"/>
  <c r="P172" i="7" s="1"/>
  <c r="B173" i="7" s="1"/>
  <c r="I172" i="7"/>
  <c r="C173" i="7" l="1"/>
  <c r="D173" i="7" l="1"/>
  <c r="G173" i="7" s="1"/>
  <c r="L173" i="7"/>
  <c r="N173" i="7" s="1"/>
  <c r="J173" i="7" l="1"/>
  <c r="O173" i="7" s="1"/>
  <c r="P173" i="7" s="1"/>
  <c r="B174" i="7" s="1"/>
  <c r="I173" i="7"/>
  <c r="C174" i="7" l="1"/>
  <c r="D174" i="7" l="1"/>
  <c r="G174" i="7" s="1"/>
  <c r="L174" i="7"/>
  <c r="N174" i="7" s="1"/>
  <c r="J174" i="7" l="1"/>
  <c r="O174" i="7" s="1"/>
  <c r="P174" i="7" s="1"/>
  <c r="B175" i="7" s="1"/>
  <c r="I174" i="7"/>
  <c r="C175" i="7" l="1"/>
  <c r="D175" i="7" l="1"/>
  <c r="G175" i="7" s="1"/>
  <c r="L175" i="7"/>
  <c r="N175" i="7" s="1"/>
  <c r="I175" i="7" l="1"/>
  <c r="J175" i="7"/>
  <c r="O175" i="7" s="1"/>
  <c r="P175" i="7" s="1"/>
  <c r="B176" i="7" s="1"/>
  <c r="C176" i="7" l="1"/>
  <c r="L176" i="7" l="1"/>
  <c r="N176" i="7" s="1"/>
  <c r="D176" i="7"/>
  <c r="G176" i="7" s="1"/>
  <c r="J176" i="7" l="1"/>
  <c r="O176" i="7" s="1"/>
  <c r="P176" i="7" s="1"/>
  <c r="B177" i="7" s="1"/>
  <c r="I176" i="7"/>
  <c r="C177" i="7" l="1"/>
  <c r="L177" i="7" l="1"/>
  <c r="N177" i="7" s="1"/>
  <c r="D177" i="7"/>
  <c r="G177" i="7" s="1"/>
  <c r="J177" i="7" l="1"/>
  <c r="O177" i="7" s="1"/>
  <c r="P177" i="7" s="1"/>
  <c r="B178" i="7" s="1"/>
  <c r="I177" i="7"/>
  <c r="C178" i="7" l="1"/>
  <c r="L178" i="7" l="1"/>
  <c r="N178" i="7" s="1"/>
  <c r="D178" i="7"/>
  <c r="G178" i="7" s="1"/>
  <c r="J178" i="7" l="1"/>
  <c r="O178" i="7" s="1"/>
  <c r="P178" i="7" s="1"/>
  <c r="B179" i="7" s="1"/>
  <c r="I178" i="7"/>
  <c r="C179" i="7" l="1"/>
  <c r="D179" i="7" l="1"/>
  <c r="G179" i="7" s="1"/>
  <c r="L179" i="7"/>
  <c r="N179" i="7" s="1"/>
  <c r="J179" i="7" l="1"/>
  <c r="O179" i="7" s="1"/>
  <c r="P179" i="7" s="1"/>
  <c r="B180" i="7" s="1"/>
  <c r="I179" i="7"/>
  <c r="C180" i="7" l="1"/>
  <c r="D180" i="7" l="1"/>
  <c r="G180" i="7" s="1"/>
  <c r="L180" i="7"/>
  <c r="N180" i="7" s="1"/>
  <c r="I180" i="7" l="1"/>
  <c r="J180" i="7"/>
  <c r="O180" i="7" s="1"/>
  <c r="P180" i="7" s="1"/>
  <c r="B181" i="7" s="1"/>
  <c r="C181" i="7" l="1"/>
  <c r="D181" i="7" l="1"/>
  <c r="G181" i="7" s="1"/>
  <c r="L181" i="7"/>
  <c r="N181" i="7" s="1"/>
  <c r="I181" i="7" l="1"/>
  <c r="J181" i="7"/>
  <c r="O181" i="7" s="1"/>
  <c r="P181" i="7" s="1"/>
  <c r="B182" i="7" s="1"/>
  <c r="C182" i="7" s="1"/>
  <c r="L182" i="7" l="1"/>
  <c r="N182" i="7" s="1"/>
  <c r="D182" i="7"/>
  <c r="G182" i="7" s="1"/>
  <c r="J182" i="7" l="1"/>
  <c r="O182" i="7" s="1"/>
  <c r="P182" i="7" s="1"/>
  <c r="I182" i="7"/>
</calcChain>
</file>

<file path=xl/sharedStrings.xml><?xml version="1.0" encoding="utf-8"?>
<sst xmlns="http://schemas.openxmlformats.org/spreadsheetml/2006/main" count="195" uniqueCount="148">
  <si>
    <t>Cd</t>
  </si>
  <si>
    <t>Cr</t>
  </si>
  <si>
    <r>
      <t>ρ(kg/m</t>
    </r>
    <r>
      <rPr>
        <vertAlign val="superscript"/>
        <sz val="12"/>
        <rFont val="Arial"/>
        <family val="2"/>
      </rPr>
      <t>3</t>
    </r>
    <r>
      <rPr>
        <sz val="12"/>
        <rFont val="Arial"/>
        <family val="2"/>
      </rPr>
      <t>)</t>
    </r>
  </si>
  <si>
    <r>
      <t>Af(m</t>
    </r>
    <r>
      <rPr>
        <b/>
        <strike/>
        <vertAlign val="superscript"/>
        <sz val="10"/>
        <rFont val="Arial"/>
        <family val="2"/>
      </rPr>
      <t>2</t>
    </r>
    <r>
      <rPr>
        <b/>
        <sz val="10"/>
        <rFont val="Arial"/>
        <family val="2"/>
      </rPr>
      <t>)</t>
    </r>
  </si>
  <si>
    <t>Wheel Radius(m)</t>
  </si>
  <si>
    <t>Gear Ratio</t>
  </si>
  <si>
    <r>
      <t>Gear Efficency η</t>
    </r>
    <r>
      <rPr>
        <b/>
        <vertAlign val="subscript"/>
        <sz val="10"/>
        <rFont val="Arial"/>
        <family val="2"/>
      </rPr>
      <t>g (%)</t>
    </r>
  </si>
  <si>
    <r>
      <t>Motor Efficency η</t>
    </r>
    <r>
      <rPr>
        <b/>
        <vertAlign val="subscript"/>
        <sz val="10"/>
        <rFont val="Arial"/>
        <family val="2"/>
      </rPr>
      <t>m (%)</t>
    </r>
  </si>
  <si>
    <t>Kerb Weight (kg)</t>
  </si>
  <si>
    <t>Passenger/ Load Weight (Kg)</t>
  </si>
  <si>
    <t>Rotatary  Inertia Compensation</t>
  </si>
  <si>
    <t>Max Speed (Kmph)</t>
  </si>
  <si>
    <t>Step Height (m)</t>
  </si>
  <si>
    <t>Number of Wheel</t>
  </si>
  <si>
    <t>Number of Powered Wheel</t>
  </si>
  <si>
    <t>Load on each Wheel (Kg)</t>
  </si>
  <si>
    <t>Torque Required to Climb on each motor (Nm)</t>
  </si>
  <si>
    <t>Slope Speed (Kmph)</t>
  </si>
  <si>
    <t>Gradeability (deg)</t>
  </si>
  <si>
    <t>Acceleration End of Speed (Kmph)</t>
  </si>
  <si>
    <t>Acceleration Period (s)</t>
  </si>
  <si>
    <t>GVW (kg)</t>
  </si>
  <si>
    <t>Vehicle Range (Km)</t>
  </si>
  <si>
    <t>Motor &amp; Controller Weight (Kg)</t>
  </si>
  <si>
    <t>Motor Base RPM</t>
  </si>
  <si>
    <t>Battery Weight</t>
  </si>
  <si>
    <t>Vehicle Weight</t>
  </si>
  <si>
    <t>Other Weights</t>
  </si>
  <si>
    <t>Generator Weight (Kg)</t>
  </si>
  <si>
    <t>Track Width(m)</t>
  </si>
  <si>
    <r>
      <t>Skid Coefficient of Friction(</t>
    </r>
    <r>
      <rPr>
        <b/>
        <sz val="10"/>
        <rFont val="Aptos Narrow"/>
        <family val="2"/>
      </rPr>
      <t>μ</t>
    </r>
    <r>
      <rPr>
        <b/>
        <sz val="10"/>
        <rFont val="Arial"/>
        <family val="2"/>
      </rPr>
      <t>)</t>
    </r>
  </si>
  <si>
    <r>
      <t>Vehicle Spin Angular Speed,</t>
    </r>
    <r>
      <rPr>
        <b/>
        <sz val="10"/>
        <rFont val="Times New Roman"/>
        <family val="1"/>
      </rPr>
      <t>ω (rad/sec</t>
    </r>
    <r>
      <rPr>
        <b/>
        <sz val="10"/>
        <rFont val="Arial"/>
        <family val="2"/>
      </rPr>
      <t>)</t>
    </r>
  </si>
  <si>
    <r>
      <t>Vehicle Spin Angular Speed</t>
    </r>
    <r>
      <rPr>
        <b/>
        <sz val="10"/>
        <rFont val="Times New Roman"/>
        <family val="1"/>
      </rPr>
      <t xml:space="preserve"> (deg/sec</t>
    </r>
    <r>
      <rPr>
        <b/>
        <sz val="10"/>
        <rFont val="Arial"/>
        <family val="2"/>
      </rPr>
      <t>)</t>
    </r>
  </si>
  <si>
    <t>Acceleration (m/s2)</t>
  </si>
  <si>
    <t>0-40 (11.11m/s) Kmph Time (Sec)</t>
  </si>
  <si>
    <t>Total Required Motor Output Power</t>
  </si>
  <si>
    <t>Per Motor Output Power</t>
  </si>
  <si>
    <r>
      <t>F</t>
    </r>
    <r>
      <rPr>
        <vertAlign val="subscript"/>
        <sz val="12"/>
        <rFont val="Arial"/>
        <family val="2"/>
      </rPr>
      <t>drag-cont (N)</t>
    </r>
  </si>
  <si>
    <r>
      <t>F</t>
    </r>
    <r>
      <rPr>
        <vertAlign val="subscript"/>
        <sz val="12"/>
        <rFont val="Arial"/>
        <family val="2"/>
      </rPr>
      <t>drag-sl(N)</t>
    </r>
  </si>
  <si>
    <r>
      <t>F</t>
    </r>
    <r>
      <rPr>
        <vertAlign val="subscript"/>
        <sz val="12"/>
        <rFont val="Arial"/>
        <family val="2"/>
      </rPr>
      <t>roll(N)</t>
    </r>
  </si>
  <si>
    <r>
      <t>F</t>
    </r>
    <r>
      <rPr>
        <vertAlign val="subscript"/>
        <sz val="12"/>
        <rFont val="Arial"/>
        <family val="2"/>
      </rPr>
      <t>Climb (N)</t>
    </r>
  </si>
  <si>
    <t>Zero Gradient Max Speed Power</t>
  </si>
  <si>
    <t>Max Slope- Max Slope Speed Power</t>
  </si>
  <si>
    <t>Acceleration Power</t>
  </si>
  <si>
    <t xml:space="preserve">Vehicle Acceleration Power </t>
  </si>
  <si>
    <t>Vehicle Speed for Motor Base Speed RPM (m/s)</t>
  </si>
  <si>
    <t>Total Torque and RPM at Motor Output</t>
  </si>
  <si>
    <t>RPM</t>
  </si>
  <si>
    <t>Torque (Nm)</t>
  </si>
  <si>
    <t xml:space="preserve">Per Motor Torque and RPM </t>
  </si>
  <si>
    <t>Vehicle End of Acc Speed (m/s)</t>
  </si>
  <si>
    <t xml:space="preserve">Zero Gradient Max Speed </t>
  </si>
  <si>
    <t>Term1</t>
  </si>
  <si>
    <t xml:space="preserve">Acceleration </t>
  </si>
  <si>
    <t>Term2</t>
  </si>
  <si>
    <t>Max Slope- Max Slope Speed</t>
  </si>
  <si>
    <t>Term3</t>
  </si>
  <si>
    <t>Required Power for Acceleration</t>
  </si>
  <si>
    <t>Total Required Power output at Wheels</t>
  </si>
  <si>
    <t>Power output Per Wheels</t>
  </si>
  <si>
    <t>Motor Input Power</t>
  </si>
  <si>
    <t>Zero Gradient Max Speed Power (W)</t>
  </si>
  <si>
    <t>Max Slope- Max Slope Speed Power (W)</t>
  </si>
  <si>
    <t>Acceleration Power (W)</t>
  </si>
  <si>
    <t>Total Torque and RPM at Wheels</t>
  </si>
  <si>
    <t>Torque</t>
  </si>
  <si>
    <t>Torque and RPM Per Wheel</t>
  </si>
  <si>
    <t>Zero Gradient Max Speed Torque</t>
  </si>
  <si>
    <t>Acceleration Torque</t>
  </si>
  <si>
    <t>Battery Requirements</t>
  </si>
  <si>
    <t xml:space="preserve">Lithium </t>
  </si>
  <si>
    <t>Max Slope- Max Slope Speed Torque</t>
  </si>
  <si>
    <t>Battery Chemistry</t>
  </si>
  <si>
    <t>NCM</t>
  </si>
  <si>
    <t>Battery voltage</t>
  </si>
  <si>
    <t>Skid Parameters and Power estimation</t>
  </si>
  <si>
    <t>Value</t>
  </si>
  <si>
    <t>Unit</t>
  </si>
  <si>
    <t>Weight per unit Wh</t>
  </si>
  <si>
    <t>Total Skid Friction Force ( Fskid)</t>
  </si>
  <si>
    <t>N</t>
  </si>
  <si>
    <t>Peukert's Coefficient</t>
  </si>
  <si>
    <t>Perwheel  Skid Friction Force( Fside)</t>
  </si>
  <si>
    <t>Battery Discharge hour rating (Hr)</t>
  </si>
  <si>
    <t>Wheel linear speed during turning (v_wheel)</t>
  </si>
  <si>
    <t>m/s</t>
  </si>
  <si>
    <t>DepthOfDischarge%</t>
  </si>
  <si>
    <t>Power for each motor (Pturn)</t>
  </si>
  <si>
    <t>Watts</t>
  </si>
  <si>
    <t>Constant Speed Battery Current (A)</t>
  </si>
  <si>
    <t>Total Power for all motor (Ptotal)</t>
  </si>
  <si>
    <t>watts</t>
  </si>
  <si>
    <t>True usable Battery Capacity Wh</t>
  </si>
  <si>
    <t>Wheel RPM</t>
  </si>
  <si>
    <t>rpm</t>
  </si>
  <si>
    <t>True usable Battery Ah</t>
  </si>
  <si>
    <t>Vehicle rotational degree per second</t>
  </si>
  <si>
    <t>degree/sec</t>
  </si>
  <si>
    <t>Tentative  battery Ah for given Discharge Hr</t>
  </si>
  <si>
    <t xml:space="preserve">Total Wheel Torque </t>
  </si>
  <si>
    <t>Nm</t>
  </si>
  <si>
    <t>Tentative battery Capacity Wh</t>
  </si>
  <si>
    <t xml:space="preserve">Total Motor Wheel Torque </t>
  </si>
  <si>
    <t xml:space="preserve">Per  Motor Wheel Torque </t>
  </si>
  <si>
    <t>Battery Capacity with respect to drive pattern</t>
  </si>
  <si>
    <t>Speed Slab</t>
  </si>
  <si>
    <t>Speed</t>
  </si>
  <si>
    <t>Drive %</t>
  </si>
  <si>
    <t>Gradient (Degree)</t>
  </si>
  <si>
    <t>Distance (Km)</t>
  </si>
  <si>
    <t>Fclimb</t>
  </si>
  <si>
    <t>Fdrag-cont (N)</t>
  </si>
  <si>
    <t>Froll(N)</t>
  </si>
  <si>
    <t>Motor Output Power</t>
  </si>
  <si>
    <t>Battery Current</t>
  </si>
  <si>
    <t>Useable Energy</t>
  </si>
  <si>
    <t>True Usable Ah</t>
  </si>
  <si>
    <t>Final Ah</t>
  </si>
  <si>
    <t>Slab-1 Max Speed</t>
  </si>
  <si>
    <t>Slab-2 Speed</t>
  </si>
  <si>
    <t>Slab-3 Speed</t>
  </si>
  <si>
    <t>Final Battery Capacity</t>
  </si>
  <si>
    <t>Vehicle Range</t>
  </si>
  <si>
    <t>Time</t>
  </si>
  <si>
    <t>Vehicle Speed (m/s)</t>
  </si>
  <si>
    <t>Vehicle Speed (Kmph)</t>
  </si>
  <si>
    <t>Motor Speed (RPM)</t>
  </si>
  <si>
    <t>Mode, Eco-1, Boost-2</t>
  </si>
  <si>
    <t>Total Motor Torque (Nm)</t>
  </si>
  <si>
    <t>Total Number of Power Wheel (No)</t>
  </si>
  <si>
    <t>PerMotor Torque (Nm)</t>
  </si>
  <si>
    <t>PerMotor Power (Watts)</t>
  </si>
  <si>
    <t>Motoring Tractive Force F_Tractive (N)</t>
  </si>
  <si>
    <t>Froll (N)</t>
  </si>
  <si>
    <t>Fdrag (N)</t>
  </si>
  <si>
    <t>Fclimb (N)</t>
  </si>
  <si>
    <t>F_Load Resitance  (N)</t>
  </si>
  <si>
    <t>Net Force F_Net(N)</t>
  </si>
  <si>
    <t>Vehicle Acceleration (m/s)</t>
  </si>
  <si>
    <t>`</t>
  </si>
  <si>
    <t>torque</t>
  </si>
  <si>
    <t>power</t>
  </si>
  <si>
    <t>Peak Torque</t>
  </si>
  <si>
    <t>Base RPM</t>
  </si>
  <si>
    <t>RPm</t>
  </si>
  <si>
    <t>Power</t>
  </si>
  <si>
    <t>Rated Torque</t>
  </si>
  <si>
    <t>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</si>
</sst>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5" x14ac:knownFonts="1">
    <font>
      <sz val="11"/>
      <color theme="1"/>
      <name val="Calibri"/>
      <family val="2"/>
      <scheme val="minor"/>
    </font>
    <font>
      <sz val="11"/>
      <color theme="1"/>
      <name val="Calibri"/>
      <family val="2"/>
      <scheme val="minor"/>
    </font>
    <font>
      <b/>
      <sz val="10"/>
      <name val="Arial"/>
      <family val="2"/>
    </font>
    <font>
      <sz val="12"/>
      <name val="Arial"/>
      <family val="2"/>
    </font>
    <font>
      <vertAlign val="superscript"/>
      <sz val="12"/>
      <name val="Arial"/>
      <family val="2"/>
    </font>
    <font>
      <b/>
      <strike/>
      <vertAlign val="superscript"/>
      <sz val="10"/>
      <name val="Arial"/>
      <family val="2"/>
    </font>
    <font>
      <b/>
      <vertAlign val="subscript"/>
      <sz val="10"/>
      <name val="Arial"/>
      <family val="2"/>
    </font>
    <font>
      <vertAlign val="subscript"/>
      <sz val="12"/>
      <name val="Arial"/>
      <family val="2"/>
    </font>
    <font>
      <b/>
      <sz val="11"/>
      <color indexed="8"/>
      <name val="Calibri"/>
      <family val="2"/>
    </font>
    <font>
      <sz val="11"/>
      <name val="Calibri"/>
      <family val="2"/>
      <scheme val="minor"/>
    </font>
    <font>
      <b/>
      <sz val="11"/>
      <color theme="1"/>
      <name val="Calibri"/>
      <family val="2"/>
      <scheme val="minor"/>
    </font>
    <font>
      <b/>
      <sz val="12"/>
      <name val="Arial"/>
      <family val="2"/>
    </font>
    <font>
      <b/>
      <sz val="11"/>
      <name val="Calibri"/>
      <family val="2"/>
      <scheme val="minor"/>
    </font>
    <font>
      <b/>
      <sz val="10"/>
      <name val="Aptos Narrow"/>
      <family val="2"/>
    </font>
    <font>
      <b/>
      <sz val="10"/>
      <name val="Times New Roman"/>
      <family val="1"/>
    </font>
  </fonts>
  <fills count="12">
    <fill>
      <patternFill patternType="none"/>
    </fill>
    <fill>
      <patternFill patternType="gray125"/>
    </fill>
    <fill>
      <patternFill patternType="solid">
        <fgColor theme="0"/>
        <bgColor indexed="64"/>
      </patternFill>
    </fill>
    <fill>
      <patternFill patternType="solid">
        <fgColor indexed="52"/>
        <bgColor indexed="51"/>
      </patternFill>
    </fill>
    <fill>
      <patternFill patternType="solid">
        <fgColor indexed="47"/>
        <bgColor indexed="22"/>
      </patternFill>
    </fill>
    <fill>
      <patternFill patternType="solid">
        <fgColor theme="4" tint="0.79998168889431442"/>
        <bgColor indexed="64"/>
      </patternFill>
    </fill>
    <fill>
      <patternFill patternType="solid">
        <fgColor indexed="44"/>
        <bgColor indexed="31"/>
      </patternFill>
    </fill>
    <fill>
      <patternFill patternType="solid">
        <fgColor indexed="27"/>
        <bgColor indexed="41"/>
      </patternFill>
    </fill>
    <fill>
      <patternFill patternType="solid">
        <fgColor theme="8" tint="0.59999389629810485"/>
        <bgColor indexed="64"/>
      </patternFill>
    </fill>
    <fill>
      <patternFill patternType="solid">
        <fgColor rgb="FFFFFF00"/>
        <bgColor indexed="64"/>
      </patternFill>
    </fill>
    <fill>
      <patternFill patternType="solid">
        <fgColor rgb="FFFF9900"/>
        <bgColor indexed="64"/>
      </patternFill>
    </fill>
    <fill>
      <patternFill patternType="solid">
        <fgColor theme="9" tint="0.39997558519241921"/>
        <bgColor indexed="64"/>
      </patternFill>
    </fill>
  </fills>
  <borders count="4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18">
    <xf numFmtId="0" fontId="0" fillId="0" borderId="0" xfId="0"/>
    <xf numFmtId="0" fontId="0" fillId="2" borderId="0" xfId="0" applyFill="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2" borderId="0" xfId="0" applyFill="1" applyAlignment="1">
      <alignment horizontal="center" vertical="center"/>
    </xf>
    <xf numFmtId="0" fontId="2" fillId="3" borderId="1" xfId="0" applyFont="1" applyFill="1" applyBorder="1" applyAlignment="1">
      <alignment horizontal="center" vertical="center" wrapText="1"/>
    </xf>
    <xf numFmtId="0" fontId="0" fillId="0" borderId="0" xfId="0" applyAlignment="1">
      <alignment horizontal="center" vertical="center"/>
    </xf>
    <xf numFmtId="0" fontId="3" fillId="6" borderId="10" xfId="0" applyFont="1" applyFill="1" applyBorder="1" applyAlignment="1">
      <alignment horizontal="center" vertical="center" wrapText="1"/>
    </xf>
    <xf numFmtId="0" fontId="3" fillId="6" borderId="11" xfId="0" applyFont="1" applyFill="1" applyBorder="1" applyAlignment="1">
      <alignment horizontal="center"/>
    </xf>
    <xf numFmtId="0" fontId="3" fillId="6" borderId="12" xfId="0" applyFont="1" applyFill="1" applyBorder="1" applyAlignment="1">
      <alignment horizontal="center"/>
    </xf>
    <xf numFmtId="1" fontId="0" fillId="7" borderId="15" xfId="0" applyNumberFormat="1" applyFill="1" applyBorder="1" applyAlignment="1">
      <alignment horizontal="center"/>
    </xf>
    <xf numFmtId="1" fontId="0" fillId="7" borderId="16" xfId="0" applyNumberFormat="1" applyFill="1" applyBorder="1" applyAlignment="1">
      <alignment horizontal="center" vertical="center"/>
    </xf>
    <xf numFmtId="2" fontId="0" fillId="7" borderId="17" xfId="0" applyNumberFormat="1" applyFill="1" applyBorder="1" applyAlignment="1">
      <alignment horizontal="center" vertical="center"/>
    </xf>
    <xf numFmtId="1" fontId="0" fillId="7" borderId="17" xfId="0" applyNumberFormat="1" applyFill="1" applyBorder="1" applyAlignment="1">
      <alignment horizontal="center" vertical="center"/>
    </xf>
    <xf numFmtId="1" fontId="0" fillId="7" borderId="18" xfId="0" applyNumberFormat="1" applyFill="1" applyBorder="1" applyAlignment="1">
      <alignment horizontal="center" vertical="center"/>
    </xf>
    <xf numFmtId="1" fontId="0" fillId="7" borderId="21" xfId="0" applyNumberFormat="1" applyFill="1" applyBorder="1" applyAlignment="1">
      <alignment horizontal="center"/>
    </xf>
    <xf numFmtId="1" fontId="0" fillId="7" borderId="6" xfId="0" applyNumberFormat="1" applyFill="1" applyBorder="1" applyAlignment="1">
      <alignment horizontal="center"/>
    </xf>
    <xf numFmtId="164" fontId="0" fillId="7" borderId="15" xfId="0" applyNumberFormat="1" applyFill="1" applyBorder="1" applyAlignment="1">
      <alignment horizontal="center"/>
    </xf>
    <xf numFmtId="164" fontId="0" fillId="7" borderId="21" xfId="0" applyNumberFormat="1" applyFill="1" applyBorder="1" applyAlignment="1">
      <alignment horizontal="center"/>
    </xf>
    <xf numFmtId="0" fontId="0" fillId="5" borderId="8" xfId="0" applyFill="1" applyBorder="1" applyAlignment="1">
      <alignment horizontal="center"/>
    </xf>
    <xf numFmtId="0" fontId="0" fillId="5" borderId="9" xfId="0" applyFill="1" applyBorder="1"/>
    <xf numFmtId="1" fontId="0" fillId="7" borderId="14" xfId="0" applyNumberFormat="1" applyFill="1" applyBorder="1" applyAlignment="1">
      <alignment horizontal="center"/>
    </xf>
    <xf numFmtId="1" fontId="0" fillId="7" borderId="20" xfId="0" applyNumberFormat="1" applyFill="1" applyBorder="1" applyAlignment="1">
      <alignment horizontal="center"/>
    </xf>
    <xf numFmtId="1" fontId="0" fillId="7" borderId="5" xfId="0" applyNumberFormat="1" applyFill="1" applyBorder="1" applyAlignment="1">
      <alignment horizontal="center"/>
    </xf>
    <xf numFmtId="1" fontId="0" fillId="9" borderId="15" xfId="0" applyNumberFormat="1" applyFill="1" applyBorder="1" applyAlignment="1">
      <alignment horizontal="center" vertical="center"/>
    </xf>
    <xf numFmtId="1" fontId="0" fillId="9" borderId="21" xfId="0" applyNumberFormat="1" applyFill="1" applyBorder="1" applyAlignment="1">
      <alignment horizontal="center" vertical="center"/>
    </xf>
    <xf numFmtId="2" fontId="0" fillId="9" borderId="21" xfId="0" applyNumberFormat="1" applyFill="1" applyBorder="1" applyAlignment="1">
      <alignment horizontal="center" vertical="center"/>
    </xf>
    <xf numFmtId="0" fontId="0" fillId="10" borderId="19" xfId="0" applyFill="1" applyBorder="1"/>
    <xf numFmtId="0" fontId="0" fillId="11" borderId="20" xfId="0" applyFill="1" applyBorder="1"/>
    <xf numFmtId="9" fontId="1" fillId="11" borderId="20" xfId="1" applyFill="1" applyBorder="1"/>
    <xf numFmtId="2" fontId="0" fillId="7" borderId="20" xfId="0" applyNumberFormat="1" applyFill="1" applyBorder="1" applyAlignment="1">
      <alignment horizontal="center"/>
    </xf>
    <xf numFmtId="0" fontId="0" fillId="10" borderId="4" xfId="0" applyFill="1" applyBorder="1"/>
    <xf numFmtId="0" fontId="0" fillId="11" borderId="5" xfId="0" applyFill="1" applyBorder="1"/>
    <xf numFmtId="9" fontId="1" fillId="11" borderId="5" xfId="1" applyFill="1" applyBorder="1"/>
    <xf numFmtId="2" fontId="0" fillId="7" borderId="5" xfId="0" applyNumberFormat="1" applyFill="1" applyBorder="1" applyAlignment="1">
      <alignment horizontal="center"/>
    </xf>
    <xf numFmtId="1" fontId="8" fillId="7" borderId="32" xfId="0" applyNumberFormat="1" applyFont="1" applyFill="1" applyBorder="1" applyAlignment="1">
      <alignment horizontal="center"/>
    </xf>
    <xf numFmtId="0" fontId="0" fillId="0" borderId="0" xfId="0" applyAlignment="1">
      <alignment wrapText="1"/>
    </xf>
    <xf numFmtId="0" fontId="0" fillId="5" borderId="9" xfId="0" applyFill="1" applyBorder="1" applyAlignment="1">
      <alignment horizontal="center"/>
    </xf>
    <xf numFmtId="0" fontId="0" fillId="10" borderId="36" xfId="0" applyFill="1" applyBorder="1"/>
    <xf numFmtId="0" fontId="0" fillId="11" borderId="37" xfId="0" applyFill="1" applyBorder="1"/>
    <xf numFmtId="9" fontId="1" fillId="11" borderId="37" xfId="1" applyFill="1" applyBorder="1"/>
    <xf numFmtId="2" fontId="0" fillId="7" borderId="37" xfId="0" applyNumberFormat="1" applyFill="1" applyBorder="1" applyAlignment="1">
      <alignment horizontal="center"/>
    </xf>
    <xf numFmtId="1" fontId="0" fillId="7" borderId="37" xfId="0" applyNumberFormat="1" applyFill="1" applyBorder="1" applyAlignment="1">
      <alignment horizontal="center"/>
    </xf>
    <xf numFmtId="1" fontId="0" fillId="7" borderId="38" xfId="0" applyNumberFormat="1" applyFill="1" applyBorder="1" applyAlignment="1">
      <alignment horizontal="center"/>
    </xf>
    <xf numFmtId="0" fontId="10" fillId="10" borderId="1"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6" borderId="3" xfId="0" applyFont="1" applyFill="1" applyBorder="1" applyAlignment="1">
      <alignment horizontal="center" vertical="center" wrapText="1"/>
    </xf>
    <xf numFmtId="165" fontId="1" fillId="11" borderId="20" xfId="1" applyNumberFormat="1" applyFill="1" applyBorder="1"/>
    <xf numFmtId="165" fontId="1" fillId="11" borderId="37" xfId="1" applyNumberFormat="1" applyFill="1" applyBorder="1"/>
    <xf numFmtId="165" fontId="1" fillId="11" borderId="5" xfId="1" applyNumberFormat="1" applyFill="1" applyBorder="1"/>
    <xf numFmtId="165" fontId="0" fillId="7" borderId="5" xfId="0" applyNumberFormat="1" applyFill="1" applyBorder="1" applyAlignment="1">
      <alignment horizontal="center"/>
    </xf>
    <xf numFmtId="0" fontId="0" fillId="0" borderId="0" xfId="0" applyAlignment="1">
      <alignment horizontal="center" vertical="center" wrapText="1"/>
    </xf>
    <xf numFmtId="2" fontId="0" fillId="0" borderId="0" xfId="0" applyNumberFormat="1"/>
    <xf numFmtId="165" fontId="0" fillId="0" borderId="0" xfId="0" applyNumberFormat="1"/>
    <xf numFmtId="1" fontId="0" fillId="0" borderId="0" xfId="0" applyNumberFormat="1"/>
    <xf numFmtId="0" fontId="2" fillId="3" borderId="42" xfId="0" applyFont="1" applyFill="1" applyBorder="1" applyAlignment="1">
      <alignment horizontal="center" vertical="center" wrapText="1"/>
    </xf>
    <xf numFmtId="2" fontId="0" fillId="0" borderId="0" xfId="0" applyNumberFormat="1" applyAlignment="1">
      <alignment horizontal="center" vertical="center" wrapText="1"/>
    </xf>
    <xf numFmtId="2" fontId="0" fillId="7" borderId="15" xfId="0" applyNumberFormat="1" applyFill="1" applyBorder="1" applyAlignment="1">
      <alignment horizontal="center"/>
    </xf>
    <xf numFmtId="2" fontId="0" fillId="7" borderId="6" xfId="0" applyNumberFormat="1" applyFill="1" applyBorder="1" applyAlignment="1">
      <alignment horizontal="center"/>
    </xf>
    <xf numFmtId="1" fontId="0" fillId="7" borderId="15" xfId="0" applyNumberFormat="1" applyFill="1" applyBorder="1" applyAlignment="1">
      <alignment horizontal="left"/>
    </xf>
    <xf numFmtId="1" fontId="0" fillId="7" borderId="43" xfId="0" applyNumberFormat="1" applyFill="1" applyBorder="1" applyAlignment="1">
      <alignment horizontal="center"/>
    </xf>
    <xf numFmtId="1" fontId="0" fillId="7" borderId="44" xfId="0" applyNumberFormat="1" applyFill="1" applyBorder="1" applyAlignment="1">
      <alignment horizontal="left"/>
    </xf>
    <xf numFmtId="2" fontId="0" fillId="7" borderId="43" xfId="0" applyNumberFormat="1" applyFill="1" applyBorder="1" applyAlignment="1">
      <alignment horizontal="center"/>
    </xf>
    <xf numFmtId="0" fontId="10" fillId="5" borderId="1" xfId="0" applyFont="1" applyFill="1" applyBorder="1" applyAlignment="1">
      <alignment horizontal="center" vertical="center" wrapText="1"/>
    </xf>
    <xf numFmtId="0" fontId="10" fillId="5" borderId="3" xfId="0" applyFont="1" applyFill="1" applyBorder="1" applyAlignment="1">
      <alignment horizontal="center" vertical="center" wrapText="1"/>
    </xf>
    <xf numFmtId="165" fontId="0" fillId="7" borderId="19" xfId="0" applyNumberFormat="1" applyFill="1" applyBorder="1" applyAlignment="1">
      <alignment horizontal="center"/>
    </xf>
    <xf numFmtId="165" fontId="0" fillId="7" borderId="4" xfId="0" applyNumberFormat="1" applyFill="1" applyBorder="1" applyAlignment="1">
      <alignment horizontal="center"/>
    </xf>
    <xf numFmtId="165" fontId="0" fillId="7" borderId="21" xfId="0" applyNumberFormat="1" applyFill="1" applyBorder="1" applyAlignment="1">
      <alignment horizontal="center"/>
    </xf>
    <xf numFmtId="165" fontId="0" fillId="7" borderId="6" xfId="0" applyNumberFormat="1" applyFill="1" applyBorder="1" applyAlignment="1">
      <alignment horizontal="center"/>
    </xf>
    <xf numFmtId="0" fontId="0" fillId="6" borderId="22" xfId="0" applyFill="1" applyBorder="1" applyAlignment="1">
      <alignment horizontal="center"/>
    </xf>
    <xf numFmtId="0" fontId="0" fillId="6" borderId="23" xfId="0" applyFill="1" applyBorder="1" applyAlignment="1">
      <alignment horizontal="center"/>
    </xf>
    <xf numFmtId="0" fontId="0" fillId="6" borderId="24" xfId="0"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0" fillId="6" borderId="28" xfId="0" applyFill="1" applyBorder="1" applyAlignment="1">
      <alignment horizontal="center"/>
    </xf>
    <xf numFmtId="0" fontId="0" fillId="6" borderId="29" xfId="0" applyFill="1" applyBorder="1" applyAlignment="1">
      <alignment horizontal="center"/>
    </xf>
    <xf numFmtId="0" fontId="0" fillId="6" borderId="30" xfId="0" applyFill="1" applyBorder="1" applyAlignment="1">
      <alignment horizontal="center"/>
    </xf>
    <xf numFmtId="0" fontId="0" fillId="5" borderId="22" xfId="0" applyFill="1" applyBorder="1" applyAlignment="1">
      <alignment horizontal="center"/>
    </xf>
    <xf numFmtId="0" fontId="0" fillId="5" borderId="23" xfId="0" applyFill="1" applyBorder="1" applyAlignment="1">
      <alignment horizontal="center"/>
    </xf>
    <xf numFmtId="0" fontId="0" fillId="5" borderId="24" xfId="0" applyFill="1" applyBorder="1" applyAlignment="1">
      <alignment horizontal="center"/>
    </xf>
    <xf numFmtId="0" fontId="0" fillId="6" borderId="25" xfId="0" applyFill="1" applyBorder="1" applyAlignment="1">
      <alignment horizontal="center"/>
    </xf>
    <xf numFmtId="0" fontId="0" fillId="6" borderId="26" xfId="0" applyFill="1" applyBorder="1" applyAlignment="1">
      <alignment horizontal="center"/>
    </xf>
    <xf numFmtId="0" fontId="0" fillId="6" borderId="27"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6" borderId="13" xfId="0" applyFill="1" applyBorder="1" applyAlignment="1">
      <alignment horizontal="center"/>
    </xf>
    <xf numFmtId="0" fontId="0" fillId="6" borderId="14" xfId="0" applyFill="1" applyBorder="1" applyAlignment="1">
      <alignment horizontal="center"/>
    </xf>
    <xf numFmtId="0" fontId="0" fillId="6" borderId="19" xfId="0" applyFill="1" applyBorder="1" applyAlignment="1">
      <alignment horizontal="center"/>
    </xf>
    <xf numFmtId="0" fontId="0" fillId="6" borderId="20" xfId="0" applyFill="1" applyBorder="1" applyAlignment="1">
      <alignment horizontal="center"/>
    </xf>
    <xf numFmtId="0" fontId="0" fillId="8" borderId="28" xfId="0" applyFill="1" applyBorder="1" applyAlignment="1">
      <alignment horizontal="left"/>
    </xf>
    <xf numFmtId="0" fontId="0" fillId="8" borderId="29" xfId="0" applyFill="1" applyBorder="1" applyAlignment="1">
      <alignment horizontal="left"/>
    </xf>
    <xf numFmtId="0" fontId="0" fillId="8" borderId="30" xfId="0" applyFill="1" applyBorder="1" applyAlignment="1">
      <alignment horizontal="left"/>
    </xf>
    <xf numFmtId="0" fontId="0" fillId="8" borderId="39" xfId="0" applyFill="1" applyBorder="1" applyAlignment="1">
      <alignment horizontal="left"/>
    </xf>
    <xf numFmtId="0" fontId="0" fillId="8" borderId="40" xfId="0" applyFill="1" applyBorder="1" applyAlignment="1">
      <alignment horizontal="left"/>
    </xf>
    <xf numFmtId="0" fontId="0" fillId="8" borderId="41" xfId="0" applyFill="1" applyBorder="1" applyAlignment="1">
      <alignment horizontal="left"/>
    </xf>
    <xf numFmtId="0" fontId="0" fillId="8" borderId="13" xfId="0" applyFill="1" applyBorder="1" applyAlignment="1">
      <alignment horizontal="left"/>
    </xf>
    <xf numFmtId="0" fontId="0" fillId="8" borderId="14" xfId="0" applyFill="1" applyBorder="1" applyAlignment="1">
      <alignment horizontal="left"/>
    </xf>
    <xf numFmtId="0" fontId="9" fillId="6" borderId="22"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31" xfId="0" applyFont="1" applyFill="1" applyBorder="1" applyAlignment="1">
      <alignment horizontal="center" vertical="center" wrapText="1"/>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31" xfId="0" applyFont="1" applyFill="1" applyBorder="1" applyAlignment="1">
      <alignment horizontal="center"/>
    </xf>
    <xf numFmtId="0" fontId="0" fillId="8" borderId="33" xfId="0" applyFill="1" applyBorder="1" applyAlignment="1">
      <alignment horizontal="left"/>
    </xf>
    <xf numFmtId="0" fontId="0" fillId="8" borderId="34" xfId="0" applyFill="1" applyBorder="1" applyAlignment="1">
      <alignment horizontal="left"/>
    </xf>
    <xf numFmtId="0" fontId="0" fillId="8" borderId="35" xfId="0" applyFill="1" applyBorder="1" applyAlignment="1">
      <alignment horizontal="left"/>
    </xf>
    <xf numFmtId="0" fontId="0" fillId="8" borderId="28" xfId="0" applyFill="1" applyBorder="1" applyAlignment="1">
      <alignment horizontal="left" wrapText="1"/>
    </xf>
    <xf numFmtId="0" fontId="0" fillId="8" borderId="29" xfId="0" applyFill="1" applyBorder="1" applyAlignment="1">
      <alignment horizontal="left" wrapText="1"/>
    </xf>
    <xf numFmtId="0" fontId="0" fillId="8" borderId="30" xfId="0" applyFill="1" applyBorder="1" applyAlignment="1">
      <alignment horizontal="lef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DCE Vehicle Simulation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'm-LEV4000-37Nm-2000W'!$C$1</c:f>
              <c:strCache>
                <c:ptCount val="1"/>
                <c:pt idx="0">
                  <c:v>Vehicle Speed (Kmph)</c:v>
                </c:pt>
              </c:strCache>
            </c:strRef>
          </c:tx>
          <c:spPr>
            <a:ln w="19050" cap="rnd">
              <a:solidFill>
                <a:schemeClr val="accent1"/>
              </a:solidFill>
              <a:round/>
            </a:ln>
            <a:effectLst/>
          </c:spPr>
          <c:marker>
            <c:symbol val="none"/>
          </c:marker>
          <c:xVal>
            <c:numRef>
              <c:f>'m-LEV4000-37Nm-2000W'!$A$2:$A$182</c:f>
              <c:numCache>
                <c:formatCode>General</c:formatCode>
                <c:ptCount val="181"/>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numCache>
            </c:numRef>
          </c:xVal>
          <c:yVal>
            <c:numRef>
              <c:f>'m-LEV4000-37Nm-2000W'!$C$2:$C$182</c:f>
              <c:numCache>
                <c:formatCode>0</c:formatCode>
                <c:ptCount val="181"/>
                <c:pt idx="0" formatCode="General">
                  <c:v>0</c:v>
                </c:pt>
                <c:pt idx="1">
                  <c:v>15.405466905187831</c:v>
                </c:pt>
                <c:pt idx="2">
                  <c:v>25.65746690006042</c:v>
                </c:pt>
                <c:pt idx="3">
                  <c:v>31.560902902382182</c:v>
                </c:pt>
                <c:pt idx="4">
                  <c:v>36.194762113189903</c:v>
                </c:pt>
                <c:pt idx="5">
                  <c:v>40.095034063087816</c:v>
                </c:pt>
                <c:pt idx="6">
                  <c:v>43.489976978296653</c:v>
                </c:pt>
                <c:pt idx="7">
                  <c:v>46.504142696191359</c:v>
                </c:pt>
                <c:pt idx="8">
                  <c:v>49.215182662030188</c:v>
                </c:pt>
                <c:pt idx="9">
                  <c:v>51.675834138728462</c:v>
                </c:pt>
                <c:pt idx="10">
                  <c:v>53.92414291158142</c:v>
                </c:pt>
                <c:pt idx="11">
                  <c:v>55.988824004500131</c:v>
                </c:pt>
                <c:pt idx="12">
                  <c:v>57.892325177966441</c:v>
                </c:pt>
                <c:pt idx="13">
                  <c:v>59.652695052739077</c:v>
                </c:pt>
                <c:pt idx="14">
                  <c:v>61.284781861917878</c:v>
                </c:pt>
                <c:pt idx="15">
                  <c:v>62.801035050798944</c:v>
                </c:pt>
                <c:pt idx="16">
                  <c:v>64.21205992577552</c:v>
                </c:pt>
                <c:pt idx="17">
                  <c:v>65.527012669198228</c:v>
                </c:pt>
                <c:pt idx="18">
                  <c:v>66.753888732534989</c:v>
                </c:pt>
                <c:pt idx="19">
                  <c:v>67.899737996061702</c:v>
                </c:pt>
                <c:pt idx="20">
                  <c:v>68.970828395295129</c:v>
                </c:pt>
                <c:pt idx="21">
                  <c:v>69.972772507350356</c:v>
                </c:pt>
                <c:pt idx="22">
                  <c:v>70.910627010342466</c:v>
                </c:pt>
                <c:pt idx="23">
                  <c:v>71.788971940248999</c:v>
                </c:pt>
                <c:pt idx="24">
                  <c:v>72.611974673182218</c:v>
                </c:pt>
                <c:pt idx="25">
                  <c:v>73.383442199276317</c:v>
                </c:pt>
                <c:pt idx="26">
                  <c:v>74.106864308072829</c:v>
                </c:pt>
                <c:pt idx="27">
                  <c:v>74.785449636508091</c:v>
                </c:pt>
                <c:pt idx="28">
                  <c:v>75.422156050725206</c:v>
                </c:pt>
                <c:pt idx="29">
                  <c:v>76.019716483804672</c:v>
                </c:pt>
                <c:pt idx="30">
                  <c:v>76.580661094283286</c:v>
                </c:pt>
                <c:pt idx="31">
                  <c:v>77.107336418616228</c:v>
                </c:pt>
                <c:pt idx="32">
                  <c:v>77.60192204632402</c:v>
                </c:pt>
                <c:pt idx="33">
                  <c:v>78.066445236709683</c:v>
                </c:pt>
                <c:pt idx="34">
                  <c:v>78.502793811703469</c:v>
                </c:pt>
                <c:pt idx="35">
                  <c:v>78.912727594106585</c:v>
                </c:pt>
                <c:pt idx="36">
                  <c:v>79.297888609563969</c:v>
                </c:pt>
                <c:pt idx="37">
                  <c:v>79.659810230548317</c:v>
                </c:pt>
                <c:pt idx="38">
                  <c:v>79.999925408934175</c:v>
                </c:pt>
                <c:pt idx="39">
                  <c:v>80.319574118474534</c:v>
                </c:pt>
                <c:pt idx="40">
                  <c:v>80.620010108228456</c:v>
                </c:pt>
                <c:pt idx="41">
                  <c:v>80.902407051637567</c:v>
                </c:pt>
                <c:pt idx="42">
                  <c:v>81.167864162678001</c:v>
                </c:pt>
                <c:pt idx="43">
                  <c:v>81.417411339682474</c:v>
                </c:pt>
                <c:pt idx="44">
                  <c:v>81.652013888535748</c:v>
                </c:pt>
                <c:pt idx="45">
                  <c:v>81.872576869611322</c:v>
                </c:pt>
                <c:pt idx="46">
                  <c:v>82.079949106730808</c:v>
                </c:pt>
                <c:pt idx="47">
                  <c:v>82.274926891353559</c:v>
                </c:pt>
                <c:pt idx="48">
                  <c:v>82.458257410950992</c:v>
                </c:pt>
                <c:pt idx="49">
                  <c:v>82.630641926938097</c:v>
                </c:pt>
                <c:pt idx="50">
                  <c:v>82.792738724502215</c:v>
                </c:pt>
                <c:pt idx="51">
                  <c:v>82.945165854089595</c:v>
                </c:pt>
                <c:pt idx="52">
                  <c:v>83.08850368210534</c:v>
                </c:pt>
                <c:pt idx="53">
                  <c:v>83.223297266488188</c:v>
                </c:pt>
                <c:pt idx="54">
                  <c:v>83.350058571187574</c:v>
                </c:pt>
                <c:pt idx="55">
                  <c:v>83.469268532152995</c:v>
                </c:pt>
                <c:pt idx="56">
                  <c:v>83.581378986211917</c:v>
                </c:pt>
                <c:pt idx="57">
                  <c:v>83.68681447313287</c:v>
                </c:pt>
                <c:pt idx="58">
                  <c:v>83.785973920221394</c:v>
                </c:pt>
                <c:pt idx="59">
                  <c:v>83.879232217960379</c:v>
                </c:pt>
                <c:pt idx="60">
                  <c:v>83.96694169446431</c:v>
                </c:pt>
                <c:pt idx="61">
                  <c:v>84.04943349585767</c:v>
                </c:pt>
                <c:pt idx="62">
                  <c:v>84.127018879099651</c:v>
                </c:pt>
                <c:pt idx="63">
                  <c:v>84.199990423249076</c:v>
                </c:pt>
                <c:pt idx="64">
                  <c:v>84.268623164690254</c:v>
                </c:pt>
                <c:pt idx="65">
                  <c:v>84.333175661412312</c:v>
                </c:pt>
                <c:pt idx="66">
                  <c:v>84.393890991047982</c:v>
                </c:pt>
                <c:pt idx="67">
                  <c:v>84.450997687026813</c:v>
                </c:pt>
                <c:pt idx="68">
                  <c:v>84.504710616878612</c:v>
                </c:pt>
                <c:pt idx="69">
                  <c:v>84.555231806431351</c:v>
                </c:pt>
                <c:pt idx="70">
                  <c:v>84.60275121338222</c:v>
                </c:pt>
                <c:pt idx="71">
                  <c:v>84.64744745347582</c:v>
                </c:pt>
                <c:pt idx="72">
                  <c:v>84.68948848230005</c:v>
                </c:pt>
                <c:pt idx="73">
                  <c:v>84.729032235504008</c:v>
                </c:pt>
                <c:pt idx="74">
                  <c:v>84.766227230052579</c:v>
                </c:pt>
                <c:pt idx="75">
                  <c:v>84.801213128956817</c:v>
                </c:pt>
                <c:pt idx="76">
                  <c:v>84.834121271757624</c:v>
                </c:pt>
                <c:pt idx="77">
                  <c:v>84.865075172890059</c:v>
                </c:pt>
                <c:pt idx="78">
                  <c:v>84.894190989916666</c:v>
                </c:pt>
                <c:pt idx="79">
                  <c:v>84.921577963489412</c:v>
                </c:pt>
                <c:pt idx="80">
                  <c:v>84.947338830779884</c:v>
                </c:pt>
                <c:pt idx="81">
                  <c:v>84.971570214005965</c:v>
                </c:pt>
                <c:pt idx="82">
                  <c:v>84.99436298557977</c:v>
                </c:pt>
                <c:pt idx="83">
                  <c:v>85.015802611304835</c:v>
                </c:pt>
                <c:pt idx="84">
                  <c:v>85.035969472960659</c:v>
                </c:pt>
                <c:pt idx="85">
                  <c:v>85.054939171528673</c:v>
                </c:pt>
                <c:pt idx="86">
                  <c:v>85.072782812235388</c:v>
                </c:pt>
                <c:pt idx="87">
                  <c:v>85.089567272515168</c:v>
                </c:pt>
                <c:pt idx="88">
                  <c:v>85.105355453926904</c:v>
                </c:pt>
                <c:pt idx="89">
                  <c:v>85.120206518994422</c:v>
                </c:pt>
                <c:pt idx="90">
                  <c:v>85.134176113881281</c:v>
                </c:pt>
                <c:pt idx="91">
                  <c:v>85.147316577754054</c:v>
                </c:pt>
                <c:pt idx="92">
                  <c:v>85.159677139636202</c:v>
                </c:pt>
                <c:pt idx="93">
                  <c:v>85.171304103505037</c:v>
                </c:pt>
                <c:pt idx="94">
                  <c:v>85.182241022339142</c:v>
                </c:pt>
                <c:pt idx="95">
                  <c:v>85.19252886177955</c:v>
                </c:pt>
                <c:pt idx="96">
                  <c:v>85.202206154028303</c:v>
                </c:pt>
                <c:pt idx="97">
                  <c:v>85.211309142569888</c:v>
                </c:pt>
                <c:pt idx="98">
                  <c:v>85.219871918265596</c:v>
                </c:pt>
                <c:pt idx="99">
                  <c:v>85.227926547337375</c:v>
                </c:pt>
                <c:pt idx="100">
                  <c:v>85.235503191726835</c:v>
                </c:pt>
                <c:pt idx="101">
                  <c:v>85.242630222285456</c:v>
                </c:pt>
                <c:pt idx="102">
                  <c:v>85.249334325224595</c:v>
                </c:pt>
                <c:pt idx="103">
                  <c:v>85.255640602228155</c:v>
                </c:pt>
                <c:pt idx="104">
                  <c:v>85.261572664606547</c:v>
                </c:pt>
                <c:pt idx="105">
                  <c:v>85.267152721847509</c:v>
                </c:pt>
                <c:pt idx="106">
                  <c:v>85.272401664898481</c:v>
                </c:pt>
                <c:pt idx="107">
                  <c:v>85.277339144494633</c:v>
                </c:pt>
                <c:pt idx="108">
                  <c:v>85.281983644828117</c:v>
                </c:pt>
                <c:pt idx="109">
                  <c:v>85.286352552836405</c:v>
                </c:pt>
                <c:pt idx="110">
                  <c:v>85.290462223370653</c:v>
                </c:pt>
                <c:pt idx="111">
                  <c:v>85.294328040489688</c:v>
                </c:pt>
                <c:pt idx="112">
                  <c:v>85.297964475110362</c:v>
                </c:pt>
                <c:pt idx="113">
                  <c:v>85.301385139231428</c:v>
                </c:pt>
                <c:pt idx="114">
                  <c:v>85.304602836934706</c:v>
                </c:pt>
                <c:pt idx="115">
                  <c:v>85.307629612355598</c:v>
                </c:pt>
                <c:pt idx="116">
                  <c:v>85.310476794803165</c:v>
                </c:pt>
                <c:pt idx="117">
                  <c:v>85.313155041199522</c:v>
                </c:pt>
                <c:pt idx="118">
                  <c:v>85.315674375997958</c:v>
                </c:pt>
                <c:pt idx="119">
                  <c:v>85.31804422872969</c:v>
                </c:pt>
                <c:pt idx="120">
                  <c:v>85.320273469320483</c:v>
                </c:pt>
                <c:pt idx="121">
                  <c:v>85.322370441309573</c:v>
                </c:pt>
                <c:pt idx="122">
                  <c:v>85.324342993095655</c:v>
                </c:pt>
                <c:pt idx="123">
                  <c:v>85.326198507327305</c:v>
                </c:pt>
                <c:pt idx="124">
                  <c:v>85.327943928548038</c:v>
                </c:pt>
                <c:pt idx="125">
                  <c:v>85.329585789199768</c:v>
                </c:pt>
                <c:pt idx="126">
                  <c:v>85.331130234082337</c:v>
                </c:pt>
                <c:pt idx="127">
                  <c:v>85.332583043360614</c:v>
                </c:pt>
                <c:pt idx="128">
                  <c:v>85.333949654205767</c:v>
                </c:pt>
                <c:pt idx="129">
                  <c:v>85.335235181151589</c:v>
                </c:pt>
                <c:pt idx="130">
                  <c:v>85.336444435242356</c:v>
                </c:pt>
                <c:pt idx="131">
                  <c:v>85.337581942043983</c:v>
                </c:pt>
                <c:pt idx="132">
                  <c:v>85.338651958586041</c:v>
                </c:pt>
                <c:pt idx="133">
                  <c:v>85.339658489297946</c:v>
                </c:pt>
                <c:pt idx="134">
                  <c:v>85.340605300999272</c:v>
                </c:pt>
                <c:pt idx="135">
                  <c:v>85.34149593700036</c:v>
                </c:pt>
                <c:pt idx="136">
                  <c:v>85.342333730365766</c:v>
                </c:pt>
                <c:pt idx="137">
                  <c:v>85.343121816390692</c:v>
                </c:pt>
                <c:pt idx="138">
                  <c:v>85.343863144336723</c:v>
                </c:pt>
                <c:pt idx="139">
                  <c:v>85.344560488471217</c:v>
                </c:pt>
                <c:pt idx="140">
                  <c:v>85.345216458451304</c:v>
                </c:pt>
                <c:pt idx="141">
                  <c:v>85.34583350909179</c:v>
                </c:pt>
                <c:pt idx="142">
                  <c:v>85.346413949553224</c:v>
                </c:pt>
                <c:pt idx="143">
                  <c:v>85.346959951984729</c:v>
                </c:pt>
                <c:pt idx="144">
                  <c:v>85.347473559653963</c:v>
                </c:pt>
                <c:pt idx="145">
                  <c:v>85.347956694594586</c:v>
                </c:pt>
                <c:pt idx="146">
                  <c:v>85.348411164799785</c:v>
                </c:pt>
                <c:pt idx="147">
                  <c:v>85.348838670989139</c:v>
                </c:pt>
                <c:pt idx="148">
                  <c:v>85.349240812973676</c:v>
                </c:pt>
                <c:pt idx="149">
                  <c:v>85.349619095643462</c:v>
                </c:pt>
                <c:pt idx="150">
                  <c:v>85.349974934599615</c:v>
                </c:pt>
                <c:pt idx="151">
                  <c:v>85.3503096614524</c:v>
                </c:pt>
                <c:pt idx="152">
                  <c:v>85.350624528804644</c:v>
                </c:pt>
                <c:pt idx="153">
                  <c:v>85.350920714939733</c:v>
                </c:pt>
                <c:pt idx="154">
                  <c:v>85.351199328231189</c:v>
                </c:pt>
                <c:pt idx="155">
                  <c:v>85.3514614112907</c:v>
                </c:pt>
                <c:pt idx="156">
                  <c:v>85.351707944870057</c:v>
                </c:pt>
                <c:pt idx="157">
                  <c:v>85.351939851531469</c:v>
                </c:pt>
                <c:pt idx="158">
                  <c:v>85.352157999100157</c:v>
                </c:pt>
                <c:pt idx="159">
                  <c:v>85.352363203912006</c:v>
                </c:pt>
                <c:pt idx="160">
                  <c:v>85.352556233868654</c:v>
                </c:pt>
                <c:pt idx="161">
                  <c:v>85.352737811311172</c:v>
                </c:pt>
                <c:pt idx="162">
                  <c:v>85.352908615723294</c:v>
                </c:pt>
                <c:pt idx="163">
                  <c:v>85.353069286274248</c:v>
                </c:pt>
                <c:pt idx="164">
                  <c:v>85.353220424210704</c:v>
                </c:pt>
                <c:pt idx="165">
                  <c:v>85.353362595106773</c:v>
                </c:pt>
                <c:pt idx="166">
                  <c:v>85.353496330980576</c:v>
                </c:pt>
                <c:pt idx="167">
                  <c:v>85.353622132285111</c:v>
                </c:pt>
                <c:pt idx="168">
                  <c:v>85.353740469781158</c:v>
                </c:pt>
                <c:pt idx="169">
                  <c:v>85.353851786298875</c:v>
                </c:pt>
                <c:pt idx="170">
                  <c:v>85.353956498395021</c:v>
                </c:pt>
                <c:pt idx="171">
                  <c:v>85.354054997911774</c:v>
                </c:pt>
                <c:pt idx="172">
                  <c:v>85.354147653443064</c:v>
                </c:pt>
                <c:pt idx="173">
                  <c:v>85.354234811713965</c:v>
                </c:pt>
                <c:pt idx="174">
                  <c:v>85.354316798878131</c:v>
                </c:pt>
                <c:pt idx="175">
                  <c:v>85.354393921738406</c:v>
                </c:pt>
                <c:pt idx="176">
                  <c:v>85.354466468894827</c:v>
                </c:pt>
                <c:pt idx="177">
                  <c:v>85.354534711824726</c:v>
                </c:pt>
                <c:pt idx="178">
                  <c:v>85.354598905898555</c:v>
                </c:pt>
                <c:pt idx="179">
                  <c:v>85.354659291335523</c:v>
                </c:pt>
                <c:pt idx="180">
                  <c:v>85.354716094102557</c:v>
                </c:pt>
              </c:numCache>
            </c:numRef>
          </c:yVal>
          <c:smooth val="1"/>
          <c:extLst>
            <c:ext xmlns:c16="http://schemas.microsoft.com/office/drawing/2014/chart" uri="{C3380CC4-5D6E-409C-BE32-E72D297353CC}">
              <c16:uniqueId val="{00000000-4C38-4EB8-A8BE-F40E55430746}"/>
            </c:ext>
          </c:extLst>
        </c:ser>
        <c:ser>
          <c:idx val="2"/>
          <c:order val="2"/>
          <c:tx>
            <c:strRef>
              <c:f>'m-LEV4000-37Nm-2000W'!$G$1</c:f>
              <c:strCache>
                <c:ptCount val="1"/>
                <c:pt idx="0">
                  <c:v>Total Motor Torque (Nm)</c:v>
                </c:pt>
              </c:strCache>
            </c:strRef>
          </c:tx>
          <c:spPr>
            <a:ln w="19050" cap="rnd">
              <a:solidFill>
                <a:srgbClr val="00B050"/>
              </a:solidFill>
              <a:round/>
            </a:ln>
            <a:effectLst/>
          </c:spPr>
          <c:marker>
            <c:symbol val="none"/>
          </c:marker>
          <c:xVal>
            <c:numRef>
              <c:f>'m-LEV4000-37Nm-2000W'!$A$2:$A$182</c:f>
              <c:numCache>
                <c:formatCode>General</c:formatCode>
                <c:ptCount val="181"/>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numCache>
            </c:numRef>
          </c:xVal>
          <c:yVal>
            <c:numRef>
              <c:f>'m-LEV4000-37Nm-2000W'!$G$2:$G$182</c:f>
              <c:numCache>
                <c:formatCode>0.00</c:formatCode>
                <c:ptCount val="181"/>
                <c:pt idx="0">
                  <c:v>74</c:v>
                </c:pt>
                <c:pt idx="1">
                  <c:v>50.039820801198168</c:v>
                </c:pt>
                <c:pt idx="2">
                  <c:v>30.045319995816612</c:v>
                </c:pt>
                <c:pt idx="3">
                  <c:v>24.42537229301518</c:v>
                </c:pt>
                <c:pt idx="4">
                  <c:v>21.298297275269718</c:v>
                </c:pt>
                <c:pt idx="5">
                  <c:v>19.226490793883123</c:v>
                </c:pt>
                <c:pt idx="6">
                  <c:v>17.725619944087192</c:v>
                </c:pt>
                <c:pt idx="7">
                  <c:v>16.576733998313724</c:v>
                </c:pt>
                <c:pt idx="8">
                  <c:v>15.663597320936734</c:v>
                </c:pt>
                <c:pt idx="9">
                  <c:v>14.917742812334145</c:v>
                </c:pt>
                <c:pt idx="10">
                  <c:v>14.295763672283107</c:v>
                </c:pt>
                <c:pt idx="11">
                  <c:v>13.768583587903681</c:v>
                </c:pt>
                <c:pt idx="12">
                  <c:v>13.315872197646401</c:v>
                </c:pt>
                <c:pt idx="13">
                  <c:v>12.92291660272592</c:v>
                </c:pt>
                <c:pt idx="14">
                  <c:v>12.578763925949685</c:v>
                </c:pt>
                <c:pt idx="15">
                  <c:v>12.275065254431359</c:v>
                </c:pt>
                <c:pt idx="16">
                  <c:v>12.005327413346921</c:v>
                </c:pt>
                <c:pt idx="17">
                  <c:v>11.764412444468919</c:v>
                </c:pt>
                <c:pt idx="18">
                  <c:v>11.548193190409112</c:v>
                </c:pt>
                <c:pt idx="19">
                  <c:v>11.353310425720652</c:v>
                </c:pt>
                <c:pt idx="20">
                  <c:v>11.176997887805195</c:v>
                </c:pt>
                <c:pt idx="21">
                  <c:v>11.016953818907343</c:v>
                </c:pt>
                <c:pt idx="22">
                  <c:v>10.871245055863808</c:v>
                </c:pt>
                <c:pt idx="23">
                  <c:v>10.738234334042398</c:v>
                </c:pt>
                <c:pt idx="24">
                  <c:v>10.616524433663415</c:v>
                </c:pt>
                <c:pt idx="25">
                  <c:v>10.504914735411393</c:v>
                </c:pt>
                <c:pt idx="26">
                  <c:v>10.402367047804121</c:v>
                </c:pt>
                <c:pt idx="27">
                  <c:v>10.307978450905289</c:v>
                </c:pt>
                <c:pt idx="28">
                  <c:v>10.220959511896314</c:v>
                </c:pt>
                <c:pt idx="29">
                  <c:v>10.140616657766921</c:v>
                </c:pt>
                <c:pt idx="30">
                  <c:v>10.066337797022941</c:v>
                </c:pt>
                <c:pt idx="31">
                  <c:v>9.9975805040033894</c:v>
                </c:pt>
                <c:pt idx="32">
                  <c:v>9.9338622416363815</c:v>
                </c:pt>
                <c:pt idx="33">
                  <c:v>9.8747522185356171</c:v>
                </c:pt>
                <c:pt idx="34">
                  <c:v>9.8198645661380475</c:v>
                </c:pt>
                <c:pt idx="35">
                  <c:v>9.7688525894010532</c:v>
                </c:pt>
                <c:pt idx="36">
                  <c:v>9.7214038962622897</c:v>
                </c:pt>
                <c:pt idx="37">
                  <c:v>9.6772362507934382</c:v>
                </c:pt>
                <c:pt idx="38">
                  <c:v>9.6360940257614001</c:v>
                </c:pt>
                <c:pt idx="39">
                  <c:v>9.5977451543418262</c:v>
                </c:pt>
                <c:pt idx="40">
                  <c:v>9.5619784996244732</c:v>
                </c:pt>
                <c:pt idx="41">
                  <c:v>9.5286015755050943</c:v>
                </c:pt>
                <c:pt idx="42">
                  <c:v>9.4974385644713255</c:v>
                </c:pt>
                <c:pt idx="43">
                  <c:v>9.4683285873357335</c:v>
                </c:pt>
                <c:pt idx="44">
                  <c:v>9.4411241876622398</c:v>
                </c:pt>
                <c:pt idx="45">
                  <c:v>9.4156899998651262</c:v>
                </c:pt>
                <c:pt idx="46">
                  <c:v>9.3919015750361012</c:v>
                </c:pt>
                <c:pt idx="47">
                  <c:v>9.3696443427092522</c:v>
                </c:pt>
                <c:pt idx="48">
                  <c:v>9.3488126901892219</c:v>
                </c:pt>
                <c:pt idx="49">
                  <c:v>9.3293091438888407</c:v>
                </c:pt>
                <c:pt idx="50">
                  <c:v>9.3110436394616691</c:v>
                </c:pt>
                <c:pt idx="51">
                  <c:v>9.2939328694630579</c:v>
                </c:pt>
                <c:pt idx="52">
                  <c:v>9.2778996989015816</c:v>
                </c:pt>
                <c:pt idx="53">
                  <c:v>9.2628726404091157</c:v>
                </c:pt>
                <c:pt idx="54">
                  <c:v>9.2487853819081547</c:v>
                </c:pt>
                <c:pt idx="55">
                  <c:v>9.2355763606271069</c:v>
                </c:pt>
                <c:pt idx="56">
                  <c:v>9.2231883781381274</c:v>
                </c:pt>
                <c:pt idx="57">
                  <c:v>9.2115682517928406</c:v>
                </c:pt>
                <c:pt idx="58">
                  <c:v>9.2006664985287934</c:v>
                </c:pt>
                <c:pt idx="59">
                  <c:v>9.1904370475308728</c:v>
                </c:pt>
                <c:pt idx="60">
                  <c:v>9.1808369786702659</c:v>
                </c:pt>
                <c:pt idx="61">
                  <c:v>9.1718262840210691</c:v>
                </c:pt>
                <c:pt idx="62">
                  <c:v>9.1633676500797243</c:v>
                </c:pt>
                <c:pt idx="63">
                  <c:v>9.1554262585941206</c:v>
                </c:pt>
                <c:pt idx="64">
                  <c:v>9.1479696041527419</c:v>
                </c:pt>
                <c:pt idx="65">
                  <c:v>9.1409673268964404</c:v>
                </c:pt>
                <c:pt idx="66">
                  <c:v>9.134391058899741</c:v>
                </c:pt>
                <c:pt idx="67">
                  <c:v>9.1282142829297825</c:v>
                </c:pt>
                <c:pt idx="68">
                  <c:v>9.1224122024318781</c:v>
                </c:pt>
                <c:pt idx="69">
                  <c:v>9.1169616217142657</c:v>
                </c:pt>
                <c:pt idx="70">
                  <c:v>9.1118408354130622</c:v>
                </c:pt>
                <c:pt idx="71">
                  <c:v>9.1070295264140739</c:v>
                </c:pt>
                <c:pt idx="72">
                  <c:v>9.1025086714923553</c:v>
                </c:pt>
                <c:pt idx="73">
                  <c:v>9.0982604540048477</c:v>
                </c:pt>
                <c:pt idx="74">
                  <c:v>9.0942681830374301</c:v>
                </c:pt>
                <c:pt idx="75">
                  <c:v>9.090516218466167</c:v>
                </c:pt>
                <c:pt idx="76">
                  <c:v>9.0869899014446016</c:v>
                </c:pt>
                <c:pt idx="77">
                  <c:v>9.0836754898750858</c:v>
                </c:pt>
                <c:pt idx="78">
                  <c:v>9.0805600984636321</c:v>
                </c:pt>
                <c:pt idx="79">
                  <c:v>9.0776316429944082</c:v>
                </c:pt>
                <c:pt idx="80">
                  <c:v>9.0748787884931872</c:v>
                </c:pt>
                <c:pt idx="81">
                  <c:v>9.0722909009785706</c:v>
                </c:pt>
                <c:pt idx="82">
                  <c:v>9.0698580025263276</c:v>
                </c:pt>
                <c:pt idx="83">
                  <c:v>9.0675707293961452</c:v>
                </c:pt>
                <c:pt idx="84">
                  <c:v>9.0654202929915577</c:v>
                </c:pt>
                <c:pt idx="85">
                  <c:v>9.0633984434431891</c:v>
                </c:pt>
                <c:pt idx="86">
                  <c:v>9.0614974356230569</c:v>
                </c:pt>
                <c:pt idx="87">
                  <c:v>9.0597099974134281</c:v>
                </c:pt>
                <c:pt idx="88">
                  <c:v>9.058029300068192</c:v>
                </c:pt>
                <c:pt idx="89">
                  <c:v>9.0564489305176465</c:v>
                </c:pt>
                <c:pt idx="90">
                  <c:v>9.0549628654795153</c:v>
                </c:pt>
                <c:pt idx="91">
                  <c:v>9.0535654472497296</c:v>
                </c:pt>
                <c:pt idx="92">
                  <c:v>9.0522513610563138</c:v>
                </c:pt>
                <c:pt idx="93">
                  <c:v>9.0510156138687563</c:v>
                </c:pt>
                <c:pt idx="94">
                  <c:v>9.04985351456323</c:v>
                </c:pt>
                <c:pt idx="95">
                  <c:v>9.048760655351737</c:v>
                </c:pt>
                <c:pt idx="96">
                  <c:v>9.0477328943898616</c:v>
                </c:pt>
                <c:pt idx="97">
                  <c:v>9.0467663394842539</c:v>
                </c:pt>
                <c:pt idx="98">
                  <c:v>9.0458573328266212</c:v>
                </c:pt>
                <c:pt idx="99">
                  <c:v>9.0450024366863069</c:v>
                </c:pt>
                <c:pt idx="100">
                  <c:v>9.0441984199984429</c:v>
                </c:pt>
                <c:pt idx="101">
                  <c:v>9.04344224578902</c:v>
                </c:pt>
                <c:pt idx="102">
                  <c:v>9.0427310593824668</c:v>
                </c:pt>
                <c:pt idx="103">
                  <c:v>9.0420621773410392</c:v>
                </c:pt>
                <c:pt idx="104">
                  <c:v>9.0414330770888505</c:v>
                </c:pt>
                <c:pt idx="105">
                  <c:v>9.0408413871766147</c:v>
                </c:pt>
                <c:pt idx="106">
                  <c:v>9.0402848781461707</c:v>
                </c:pt>
                <c:pt idx="107">
                  <c:v>9.0397614539566131</c:v>
                </c:pt>
                <c:pt idx="108">
                  <c:v>9.0392691439364548</c:v>
                </c:pt>
                <c:pt idx="109">
                  <c:v>9.0388060952285443</c:v>
                </c:pt>
                <c:pt idx="110">
                  <c:v>9.0383705656967983</c:v>
                </c:pt>
                <c:pt idx="111">
                  <c:v>9.03796091726573</c:v>
                </c:pt>
                <c:pt idx="112">
                  <c:v>9.0375756096656925</c:v>
                </c:pt>
                <c:pt idx="113">
                  <c:v>9.0372131945586123</c:v>
                </c:pt>
                <c:pt idx="114">
                  <c:v>9.0368723100204615</c:v>
                </c:pt>
                <c:pt idx="115">
                  <c:v>9.0365516753584263</c:v>
                </c:pt>
                <c:pt idx="116">
                  <c:v>9.0362500862420223</c:v>
                </c:pt>
                <c:pt idx="117">
                  <c:v>9.0359664101287862</c:v>
                </c:pt>
                <c:pt idx="118">
                  <c:v>9.0356995819664228</c:v>
                </c:pt>
                <c:pt idx="119">
                  <c:v>9.0354486001544156</c:v>
                </c:pt>
                <c:pt idx="120">
                  <c:v>9.0352125227491698</c:v>
                </c:pt>
                <c:pt idx="121">
                  <c:v>9.0349904638978078</c:v>
                </c:pt>
                <c:pt idx="122">
                  <c:v>9.034781590486638</c:v>
                </c:pt>
                <c:pt idx="123">
                  <c:v>9.0345851189911954</c:v>
                </c:pt>
                <c:pt idx="124">
                  <c:v>9.0344003125156025</c:v>
                </c:pt>
                <c:pt idx="125">
                  <c:v>9.0342264780096926</c:v>
                </c:pt>
                <c:pt idx="126">
                  <c:v>9.0340629636531649</c:v>
                </c:pt>
                <c:pt idx="127">
                  <c:v>9.033909156396593</c:v>
                </c:pt>
                <c:pt idx="128">
                  <c:v>9.0337644796497969</c:v>
                </c:pt>
                <c:pt idx="129">
                  <c:v>9.0336283911086888</c:v>
                </c:pt>
                <c:pt idx="130">
                  <c:v>9.0335003807122103</c:v>
                </c:pt>
                <c:pt idx="131">
                  <c:v>9.0333799687214817</c:v>
                </c:pt>
                <c:pt idx="132">
                  <c:v>9.0332667039138528</c:v>
                </c:pt>
                <c:pt idx="133">
                  <c:v>9.0331601618848936</c:v>
                </c:pt>
                <c:pt idx="134">
                  <c:v>9.0330599434518142</c:v>
                </c:pt>
                <c:pt idx="135">
                  <c:v>9.0329656731522707</c:v>
                </c:pt>
                <c:pt idx="136">
                  <c:v>9.0328769978327639</c:v>
                </c:pt>
                <c:pt idx="137">
                  <c:v>9.0327935853213006</c:v>
                </c:pt>
                <c:pt idx="138">
                  <c:v>9.0327151231792229</c:v>
                </c:pt>
                <c:pt idx="139">
                  <c:v>9.032641317527478</c:v>
                </c:pt>
                <c:pt idx="140">
                  <c:v>9.0325718919428812</c:v>
                </c:pt>
                <c:pt idx="141">
                  <c:v>9.0325065864201388</c:v>
                </c:pt>
                <c:pt idx="142">
                  <c:v>9.0324451563957435</c:v>
                </c:pt>
                <c:pt idx="143">
                  <c:v>9.0323873718300067</c:v>
                </c:pt>
                <c:pt idx="144">
                  <c:v>9.0323330163437543</c:v>
                </c:pt>
                <c:pt idx="145">
                  <c:v>9.0322818864064427</c:v>
                </c:pt>
                <c:pt idx="146">
                  <c:v>9.0322337905725973</c:v>
                </c:pt>
                <c:pt idx="147">
                  <c:v>9.0321885487636937</c:v>
                </c:pt>
                <c:pt idx="148">
                  <c:v>9.0321459915927917</c:v>
                </c:pt>
                <c:pt idx="149">
                  <c:v>9.0321059597293125</c:v>
                </c:pt>
                <c:pt idx="150">
                  <c:v>9.0320683033016564</c:v>
                </c:pt>
                <c:pt idx="151">
                  <c:v>9.0320328813353008</c:v>
                </c:pt>
                <c:pt idx="152">
                  <c:v>9.0319995612243531</c:v>
                </c:pt>
                <c:pt idx="153">
                  <c:v>9.031968218234498</c:v>
                </c:pt>
                <c:pt idx="154">
                  <c:v>9.0319387350355118</c:v>
                </c:pt>
                <c:pt idx="155">
                  <c:v>9.0319110012615624</c:v>
                </c:pt>
                <c:pt idx="156">
                  <c:v>9.0318849130976417</c:v>
                </c:pt>
                <c:pt idx="157">
                  <c:v>9.0318603728905877</c:v>
                </c:pt>
                <c:pt idx="158">
                  <c:v>9.0318372887831995</c:v>
                </c:pt>
                <c:pt idx="159">
                  <c:v>9.0318155743701265</c:v>
                </c:pt>
                <c:pt idx="160">
                  <c:v>9.0317951483741652</c:v>
                </c:pt>
                <c:pt idx="161">
                  <c:v>9.0317759343418285</c:v>
                </c:pt>
                <c:pt idx="162">
                  <c:v>9.0317578603569597</c:v>
                </c:pt>
                <c:pt idx="163">
                  <c:v>9.0317408587713857</c:v>
                </c:pt>
                <c:pt idx="164">
                  <c:v>9.0317248659515563</c:v>
                </c:pt>
                <c:pt idx="165">
                  <c:v>9.031709822040245</c:v>
                </c:pt>
                <c:pt idx="166">
                  <c:v>9.0316956707323648</c:v>
                </c:pt>
                <c:pt idx="167">
                  <c:v>9.0316823590641668</c:v>
                </c:pt>
                <c:pt idx="168">
                  <c:v>9.0316698372148636</c:v>
                </c:pt>
                <c:pt idx="169">
                  <c:v>9.0316580583201294</c:v>
                </c:pt>
                <c:pt idx="170">
                  <c:v>9.0316469782965925</c:v>
                </c:pt>
                <c:pt idx="171">
                  <c:v>9.0316365556768012</c:v>
                </c:pt>
                <c:pt idx="172">
                  <c:v>9.031626751453965</c:v>
                </c:pt>
                <c:pt idx="173">
                  <c:v>9.0316175289359162</c:v>
                </c:pt>
                <c:pt idx="174">
                  <c:v>9.0316088536077466</c:v>
                </c:pt>
                <c:pt idx="175">
                  <c:v>9.0316006930025843</c:v>
                </c:pt>
                <c:pt idx="176">
                  <c:v>9.031593016580068</c:v>
                </c:pt>
                <c:pt idx="177">
                  <c:v>9.0315857956120063</c:v>
                </c:pt>
                <c:pt idx="178">
                  <c:v>9.0315790030748389</c:v>
                </c:pt>
                <c:pt idx="179">
                  <c:v>9.0315726135484891</c:v>
                </c:pt>
                <c:pt idx="180">
                  <c:v>9.0315666031211972</c:v>
                </c:pt>
              </c:numCache>
            </c:numRef>
          </c:yVal>
          <c:smooth val="1"/>
          <c:extLst>
            <c:ext xmlns:c16="http://schemas.microsoft.com/office/drawing/2014/chart" uri="{C3380CC4-5D6E-409C-BE32-E72D297353CC}">
              <c16:uniqueId val="{00000002-4C38-4EB8-A8BE-F40E55430746}"/>
            </c:ext>
          </c:extLst>
        </c:ser>
        <c:dLbls>
          <c:showLegendKey val="0"/>
          <c:showVal val="0"/>
          <c:showCatName val="0"/>
          <c:showSerName val="0"/>
          <c:showPercent val="0"/>
          <c:showBubbleSize val="0"/>
        </c:dLbls>
        <c:axId val="1466857279"/>
        <c:axId val="1466848159"/>
      </c:scatterChart>
      <c:scatterChart>
        <c:scatterStyle val="smoothMarker"/>
        <c:varyColors val="0"/>
        <c:ser>
          <c:idx val="1"/>
          <c:order val="1"/>
          <c:tx>
            <c:strRef>
              <c:f>'m-LEV4000-37Nm-2000W'!$D$1</c:f>
              <c:strCache>
                <c:ptCount val="1"/>
                <c:pt idx="0">
                  <c:v>Motor Speed (RPM)</c:v>
                </c:pt>
              </c:strCache>
            </c:strRef>
          </c:tx>
          <c:spPr>
            <a:ln w="19050" cap="rnd">
              <a:solidFill>
                <a:schemeClr val="accent2"/>
              </a:solidFill>
              <a:round/>
            </a:ln>
            <a:effectLst/>
          </c:spPr>
          <c:marker>
            <c:symbol val="none"/>
          </c:marker>
          <c:xVal>
            <c:numRef>
              <c:f>'m-LEV4000-37Nm-2000W'!$A$2:$A$182</c:f>
              <c:numCache>
                <c:formatCode>General</c:formatCode>
                <c:ptCount val="181"/>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40</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50</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60</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70</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80</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90</c:v>
                </c:pt>
              </c:numCache>
            </c:numRef>
          </c:xVal>
          <c:yVal>
            <c:numRef>
              <c:f>'m-LEV4000-37Nm-2000W'!$D$2:$D$182</c:f>
              <c:numCache>
                <c:formatCode>General</c:formatCode>
                <c:ptCount val="181"/>
                <c:pt idx="0">
                  <c:v>0</c:v>
                </c:pt>
                <c:pt idx="1">
                  <c:v>763.33579398310462</c:v>
                </c:pt>
                <c:pt idx="2">
                  <c:v>1271.3190056678811</c:v>
                </c:pt>
                <c:pt idx="3">
                  <c:v>1563.8323086267949</c:v>
                </c:pt>
                <c:pt idx="4">
                  <c:v>1793.4385011334741</c:v>
                </c:pt>
                <c:pt idx="5">
                  <c:v>1986.6956872965739</c:v>
                </c:pt>
                <c:pt idx="6">
                  <c:v>2154.9139867909935</c:v>
                </c:pt>
                <c:pt idx="7">
                  <c:v>2304.2649019970104</c:v>
                </c:pt>
                <c:pt idx="8">
                  <c:v>2438.596036365072</c:v>
                </c:pt>
                <c:pt idx="9">
                  <c:v>2560.5205038441236</c:v>
                </c:pt>
                <c:pt idx="10">
                  <c:v>2671.9234605222459</c:v>
                </c:pt>
                <c:pt idx="11">
                  <c:v>2774.2277263445476</c:v>
                </c:pt>
                <c:pt idx="12">
                  <c:v>2868.5455804244116</c:v>
                </c:pt>
                <c:pt idx="13">
                  <c:v>2955.7713259557586</c:v>
                </c:pt>
                <c:pt idx="14">
                  <c:v>3036.6406879816714</c:v>
                </c:pt>
                <c:pt idx="15">
                  <c:v>3111.7705324023027</c:v>
                </c:pt>
                <c:pt idx="16">
                  <c:v>3181.6863486446164</c:v>
                </c:pt>
                <c:pt idx="17">
                  <c:v>3246.8418225181686</c:v>
                </c:pt>
                <c:pt idx="18">
                  <c:v>3307.6331260008728</c:v>
                </c:pt>
                <c:pt idx="19">
                  <c:v>3364.4095783305697</c:v>
                </c:pt>
                <c:pt idx="20">
                  <c:v>3417.481753640699</c:v>
                </c:pt>
                <c:pt idx="21">
                  <c:v>3467.1277532724798</c:v>
                </c:pt>
                <c:pt idx="22">
                  <c:v>3513.5981339553946</c:v>
                </c:pt>
                <c:pt idx="23">
                  <c:v>3557.119834958527</c:v>
                </c:pt>
                <c:pt idx="24">
                  <c:v>3597.899348391014</c:v>
                </c:pt>
                <c:pt idx="25">
                  <c:v>3636.1253093558785</c:v>
                </c:pt>
                <c:pt idx="26">
                  <c:v>3671.9706357716041</c:v>
                </c:pt>
                <c:pt idx="27">
                  <c:v>3705.5943145380024</c:v>
                </c:pt>
                <c:pt idx="28">
                  <c:v>3737.1429069449546</c:v>
                </c:pt>
                <c:pt idx="29">
                  <c:v>3766.7518289234235</c:v>
                </c:pt>
                <c:pt idx="30">
                  <c:v>3794.5464489927476</c:v>
                </c:pt>
                <c:pt idx="31">
                  <c:v>3820.6430372588006</c:v>
                </c:pt>
                <c:pt idx="32">
                  <c:v>3845.1495916620188</c:v>
                </c:pt>
                <c:pt idx="33">
                  <c:v>3868.1665622309015</c:v>
                </c:pt>
                <c:pt idx="34">
                  <c:v>3889.7874899182093</c:v>
                </c:pt>
                <c:pt idx="35">
                  <c:v>3910.0995733621589</c:v>
                </c:pt>
                <c:pt idx="36">
                  <c:v>3929.1841743908035</c:v>
                </c:pt>
                <c:pt idx="37">
                  <c:v>3947.1172711034196</c:v>
                </c:pt>
                <c:pt idx="38">
                  <c:v>3963.9698657918316</c:v>
                </c:pt>
                <c:pt idx="39">
                  <c:v>3979.8083537126681</c:v>
                </c:pt>
                <c:pt idx="40">
                  <c:v>3994.6948577174694</c:v>
                </c:pt>
                <c:pt idx="41">
                  <c:v>4008.6875329373938</c:v>
                </c:pt>
                <c:pt idx="42">
                  <c:v>4021.8408450616944</c:v>
                </c:pt>
                <c:pt idx="43">
                  <c:v>4034.2058252123966</c:v>
                </c:pt>
                <c:pt idx="44">
                  <c:v>4045.8303039770794</c:v>
                </c:pt>
                <c:pt idx="45">
                  <c:v>4056.7591267981456</c:v>
                </c:pt>
                <c:pt idx="46">
                  <c:v>4067.0343526154397</c:v>
                </c:pt>
                <c:pt idx="47">
                  <c:v>4076.6954374076154</c:v>
                </c:pt>
                <c:pt idx="48">
                  <c:v>4085.7794040669523</c:v>
                </c:pt>
                <c:pt idx="49">
                  <c:v>4094.3209998648113</c:v>
                </c:pt>
                <c:pt idx="50">
                  <c:v>4102.3528426146768</c:v>
                </c:pt>
                <c:pt idx="51">
                  <c:v>4109.9055565119079</c:v>
                </c:pt>
                <c:pt idx="52">
                  <c:v>4117.0078985200798</c:v>
                </c:pt>
                <c:pt idx="53">
                  <c:v>4123.6868760799262</c:v>
                </c:pt>
                <c:pt idx="54">
                  <c:v>4129.9678568359495</c:v>
                </c:pt>
                <c:pt idx="55">
                  <c:v>4135.8746710055084</c:v>
                </c:pt>
                <c:pt idx="56">
                  <c:v>4141.4297069540817</c:v>
                </c:pt>
                <c:pt idx="57">
                  <c:v>4146.6540004868984</c:v>
                </c:pt>
                <c:pt idx="58">
                  <c:v>4151.5673183201125</c:v>
                </c:pt>
                <c:pt idx="59">
                  <c:v>4156.1882361532571</c:v>
                </c:pt>
                <c:pt idx="60">
                  <c:v>4160.5342117279688</c:v>
                </c:pt>
                <c:pt idx="61">
                  <c:v>4164.6216532252784</c:v>
                </c:pt>
                <c:pt idx="62">
                  <c:v>4168.4659833246515</c:v>
                </c:pt>
                <c:pt idx="63">
                  <c:v>4172.0816992217606</c:v>
                </c:pt>
                <c:pt idx="64">
                  <c:v>4175.4824288785549</c:v>
                </c:pt>
                <c:pt idx="65">
                  <c:v>4178.6809837579485</c:v>
                </c:pt>
                <c:pt idx="66">
                  <c:v>4181.689408276311</c:v>
                </c:pt>
                <c:pt idx="67">
                  <c:v>4184.5190261895505</c:v>
                </c:pt>
                <c:pt idx="68">
                  <c:v>4187.1804841127623</c:v>
                </c:pt>
                <c:pt idx="69">
                  <c:v>4189.6837923589555</c:v>
                </c:pt>
                <c:pt idx="70">
                  <c:v>4192.0383632692492</c:v>
                </c:pt>
                <c:pt idx="71">
                  <c:v>4194.2530471947603</c:v>
                </c:pt>
                <c:pt idx="72">
                  <c:v>4196.3361662793623</c:v>
                </c:pt>
                <c:pt idx="73">
                  <c:v>4198.2955461822758</c:v>
                </c:pt>
                <c:pt idx="74">
                  <c:v>4200.138545870027</c:v>
                </c:pt>
                <c:pt idx="75">
                  <c:v>4201.8720855986603</c:v>
                </c:pt>
                <c:pt idx="76">
                  <c:v>4203.5026731990201</c:v>
                </c:pt>
                <c:pt idx="77">
                  <c:v>4205.036428770547</c:v>
                </c:pt>
                <c:pt idx="78">
                  <c:v>4206.4791078820763</c:v>
                </c:pt>
                <c:pt idx="79">
                  <c:v>4207.8361233718115</c:v>
                </c:pt>
                <c:pt idx="80">
                  <c:v>4209.1125658326537</c:v>
                </c:pt>
                <c:pt idx="81">
                  <c:v>4210.313222863565</c:v>
                </c:pt>
                <c:pt idx="82">
                  <c:v>4211.4425971625351</c:v>
                </c:pt>
                <c:pt idx="83">
                  <c:v>4212.5049235318866</c:v>
                </c:pt>
                <c:pt idx="84">
                  <c:v>4213.5041848622268</c:v>
                </c:pt>
                <c:pt idx="85">
                  <c:v>4214.4441271572032</c:v>
                </c:pt>
                <c:pt idx="86">
                  <c:v>4215.3282736572883</c:v>
                </c:pt>
                <c:pt idx="87">
                  <c:v>4216.1599381172555</c:v>
                </c:pt>
                <c:pt idx="88">
                  <c:v>4216.9422372885592</c:v>
                </c:pt>
                <c:pt idx="89">
                  <c:v>4217.6781026547033</c:v>
                </c:pt>
                <c:pt idx="90">
                  <c:v>4218.3702914647029</c:v>
                </c:pt>
                <c:pt idx="91">
                  <c:v>4219.0213971069634</c:v>
                </c:pt>
                <c:pt idx="92">
                  <c:v>4219.6338588633298</c:v>
                </c:pt>
                <c:pt idx="93">
                  <c:v>4220.2099710805733</c:v>
                </c:pt>
                <c:pt idx="94">
                  <c:v>4220.7518917943917</c:v>
                </c:pt>
                <c:pt idx="95">
                  <c:v>4221.2616508387591</c:v>
                </c:pt>
                <c:pt idx="96">
                  <c:v>4221.7411574715516</c:v>
                </c:pt>
                <c:pt idx="97">
                  <c:v>4222.1922075454486</c:v>
                </c:pt>
                <c:pt idx="98">
                  <c:v>4222.616490251361</c:v>
                </c:pt>
                <c:pt idx="99">
                  <c:v>4223.0155944599901</c:v>
                </c:pt>
                <c:pt idx="100">
                  <c:v>4223.3910146855733</c:v>
                </c:pt>
                <c:pt idx="101">
                  <c:v>4223.7441566944253</c:v>
                </c:pt>
                <c:pt idx="102">
                  <c:v>4224.0763427795</c:v>
                </c:pt>
                <c:pt idx="103">
                  <c:v>4224.3888167209407</c:v>
                </c:pt>
                <c:pt idx="104">
                  <c:v>4224.6827484513733</c:v>
                </c:pt>
                <c:pt idx="105">
                  <c:v>4224.9592384435764</c:v>
                </c:pt>
                <c:pt idx="106">
                  <c:v>4225.2193218370921</c:v>
                </c:pt>
                <c:pt idx="107">
                  <c:v>4225.4639723193532</c:v>
                </c:pt>
                <c:pt idx="108">
                  <c:v>4225.6941057759705</c:v>
                </c:pt>
                <c:pt idx="109">
                  <c:v>4225.9105837239531</c:v>
                </c:pt>
                <c:pt idx="110">
                  <c:v>4226.11421654077</c:v>
                </c:pt>
                <c:pt idx="111">
                  <c:v>4226.3057665014494</c:v>
                </c:pt>
                <c:pt idx="112">
                  <c:v>4226.4859506351422</c:v>
                </c:pt>
                <c:pt idx="113">
                  <c:v>4226.6554434118862</c:v>
                </c:pt>
                <c:pt idx="114">
                  <c:v>4226.8148792697057</c:v>
                </c:pt>
                <c:pt idx="115">
                  <c:v>4226.9648549915282</c:v>
                </c:pt>
                <c:pt idx="116">
                  <c:v>4227.1059319408732</c:v>
                </c:pt>
                <c:pt idx="117">
                  <c:v>4227.2386381647111</c:v>
                </c:pt>
                <c:pt idx="118">
                  <c:v>4227.3634703713888</c:v>
                </c:pt>
                <c:pt idx="119">
                  <c:v>4227.4808957910618</c:v>
                </c:pt>
                <c:pt idx="120">
                  <c:v>4227.5913539256208</c:v>
                </c:pt>
                <c:pt idx="121">
                  <c:v>4227.6952581946762</c:v>
                </c:pt>
                <c:pt idx="122">
                  <c:v>4227.7929974837916</c:v>
                </c:pt>
                <c:pt idx="123">
                  <c:v>4227.8849376007638</c:v>
                </c:pt>
                <c:pt idx="124">
                  <c:v>4227.9714226454271</c:v>
                </c:pt>
                <c:pt idx="125">
                  <c:v>4228.0527762981219</c:v>
                </c:pt>
                <c:pt idx="126">
                  <c:v>4228.1293030316483</c:v>
                </c:pt>
                <c:pt idx="127">
                  <c:v>4228.2012892512648</c:v>
                </c:pt>
                <c:pt idx="128">
                  <c:v>4228.2690043670073</c:v>
                </c:pt>
                <c:pt idx="129">
                  <c:v>4228.3327018023347</c:v>
                </c:pt>
                <c:pt idx="130">
                  <c:v>4228.3926199428997</c:v>
                </c:pt>
                <c:pt idx="131">
                  <c:v>4228.4489830289995</c:v>
                </c:pt>
                <c:pt idx="132">
                  <c:v>4228.5020019950416</c:v>
                </c:pt>
                <c:pt idx="133">
                  <c:v>4228.5518752591797</c:v>
                </c:pt>
                <c:pt idx="134">
                  <c:v>4228.5987894660802</c:v>
                </c:pt>
                <c:pt idx="135">
                  <c:v>4228.6429201855981</c:v>
                </c:pt>
                <c:pt idx="136">
                  <c:v>4228.6844325699822</c:v>
                </c:pt>
                <c:pt idx="137">
                  <c:v>4228.7234819720716</c:v>
                </c:pt>
                <c:pt idx="138">
                  <c:v>4228.7602145268047</c:v>
                </c:pt>
                <c:pt idx="139">
                  <c:v>4228.7947676982121</c:v>
                </c:pt>
                <c:pt idx="140">
                  <c:v>4228.8272707939414</c:v>
                </c:pt>
                <c:pt idx="141">
                  <c:v>4228.8578454492563</c:v>
                </c:pt>
                <c:pt idx="142">
                  <c:v>4228.8866060822975</c:v>
                </c:pt>
                <c:pt idx="143">
                  <c:v>4228.9136603223369</c:v>
                </c:pt>
                <c:pt idx="144">
                  <c:v>4228.9391094126113</c:v>
                </c:pt>
                <c:pt idx="145">
                  <c:v>4228.963048589253</c:v>
                </c:pt>
                <c:pt idx="146">
                  <c:v>4228.9855674377286</c:v>
                </c:pt>
                <c:pt idx="147">
                  <c:v>4229.0067502281299</c:v>
                </c:pt>
                <c:pt idx="148">
                  <c:v>4229.0266762305646</c:v>
                </c:pt>
                <c:pt idx="149">
                  <c:v>4229.0454200118384</c:v>
                </c:pt>
                <c:pt idx="150">
                  <c:v>4229.0630517145191</c:v>
                </c:pt>
                <c:pt idx="151">
                  <c:v>4229.0796373194544</c:v>
                </c:pt>
                <c:pt idx="152">
                  <c:v>4229.0952388927017</c:v>
                </c:pt>
                <c:pt idx="153">
                  <c:v>4229.1099148178118</c:v>
                </c:pt>
                <c:pt idx="154">
                  <c:v>4229.1237200143278</c:v>
                </c:pt>
                <c:pt idx="155">
                  <c:v>4229.1367061433139</c:v>
                </c:pt>
                <c:pt idx="156">
                  <c:v>4229.1489218006973</c:v>
                </c:pt>
                <c:pt idx="157">
                  <c:v>4229.1604126991306</c:v>
                </c:pt>
                <c:pt idx="158">
                  <c:v>4229.1712218390658</c:v>
                </c:pt>
                <c:pt idx="159">
                  <c:v>4229.1813896696767</c:v>
                </c:pt>
                <c:pt idx="160">
                  <c:v>4229.1909542402373</c:v>
                </c:pt>
                <c:pt idx="161">
                  <c:v>4229.1999513425062</c:v>
                </c:pt>
                <c:pt idx="162">
                  <c:v>4229.2084146446796</c:v>
                </c:pt>
                <c:pt idx="163">
                  <c:v>4229.216375817381</c:v>
                </c:pt>
                <c:pt idx="164">
                  <c:v>4229.2238646521855</c:v>
                </c:pt>
                <c:pt idx="165">
                  <c:v>4229.2309091731004</c:v>
                </c:pt>
                <c:pt idx="166">
                  <c:v>4229.2375357414512</c:v>
                </c:pt>
                <c:pt idx="167">
                  <c:v>4229.2437691545156</c:v>
                </c:pt>
                <c:pt idx="168">
                  <c:v>4229.2496327383369</c:v>
                </c:pt>
                <c:pt idx="169">
                  <c:v>4229.2551484350024</c:v>
                </c:pt>
                <c:pt idx="170">
                  <c:v>4229.2603368847613</c:v>
                </c:pt>
                <c:pt idx="171">
                  <c:v>4229.2652175032645</c:v>
                </c:pt>
                <c:pt idx="172">
                  <c:v>4229.2698085542197</c:v>
                </c:pt>
                <c:pt idx="173">
                  <c:v>4229.2741272177391</c:v>
                </c:pt>
                <c:pt idx="174">
                  <c:v>4229.2781896546285</c:v>
                </c:pt>
                <c:pt idx="175">
                  <c:v>4229.2820110668672</c:v>
                </c:pt>
                <c:pt idx="176">
                  <c:v>4229.2856057544932</c:v>
                </c:pt>
                <c:pt idx="177">
                  <c:v>4229.2889871691168</c:v>
                </c:pt>
                <c:pt idx="178">
                  <c:v>4229.2921679642604</c:v>
                </c:pt>
                <c:pt idx="179">
                  <c:v>4229.2951600427059</c:v>
                </c:pt>
                <c:pt idx="180">
                  <c:v>4229.2979746010406</c:v>
                </c:pt>
              </c:numCache>
            </c:numRef>
          </c:yVal>
          <c:smooth val="1"/>
          <c:extLst>
            <c:ext xmlns:c16="http://schemas.microsoft.com/office/drawing/2014/chart" uri="{C3380CC4-5D6E-409C-BE32-E72D297353CC}">
              <c16:uniqueId val="{00000001-4C38-4EB8-A8BE-F40E55430746}"/>
            </c:ext>
          </c:extLst>
        </c:ser>
        <c:dLbls>
          <c:showLegendKey val="0"/>
          <c:showVal val="0"/>
          <c:showCatName val="0"/>
          <c:showSerName val="0"/>
          <c:showPercent val="0"/>
          <c:showBubbleSize val="0"/>
        </c:dLbls>
        <c:axId val="1466838559"/>
        <c:axId val="1466834719"/>
      </c:scatterChart>
      <c:valAx>
        <c:axId val="1466857279"/>
        <c:scaling>
          <c:orientation val="minMax"/>
          <c:max val="4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rgbClr val="C00000"/>
                    </a:solidFill>
                    <a:latin typeface="+mn-lt"/>
                    <a:ea typeface="+mn-ea"/>
                    <a:cs typeface="+mn-cs"/>
                  </a:defRPr>
                </a:pPr>
                <a:r>
                  <a:rPr lang="en-IN" b="1">
                    <a:solidFill>
                      <a:srgbClr val="C00000"/>
                    </a:solidFill>
                  </a:rPr>
                  <a:t>Time (Sec)</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C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8159"/>
        <c:crosses val="autoZero"/>
        <c:crossBetween val="midCat"/>
        <c:majorUnit val="0.5"/>
      </c:valAx>
      <c:valAx>
        <c:axId val="1466848159"/>
        <c:scaling>
          <c:orientation val="minMax"/>
          <c:max val="1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r>
                  <a:rPr lang="en-IN" b="1">
                    <a:solidFill>
                      <a:srgbClr val="C00000"/>
                    </a:solidFill>
                  </a:rPr>
                  <a:t>Vehicle Speed (Kmph)</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57279"/>
        <c:crosses val="autoZero"/>
        <c:crossBetween val="midCat"/>
        <c:majorUnit val="10"/>
      </c:valAx>
      <c:valAx>
        <c:axId val="1466834719"/>
        <c:scaling>
          <c:orientation val="minMax"/>
        </c:scaling>
        <c:delete val="0"/>
        <c:axPos val="r"/>
        <c:title>
          <c:tx>
            <c:rich>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r>
                  <a:rPr lang="en-IN" b="1">
                    <a:solidFill>
                      <a:srgbClr val="C00000"/>
                    </a:solidFill>
                  </a:rPr>
                  <a:t>Motor</a:t>
                </a:r>
                <a:r>
                  <a:rPr lang="en-IN" b="1" baseline="0">
                    <a:solidFill>
                      <a:srgbClr val="C00000"/>
                    </a:solidFill>
                  </a:rPr>
                  <a:t>  Speed(RPM)</a:t>
                </a:r>
                <a:endParaRPr lang="en-IN" b="1">
                  <a:solidFill>
                    <a:srgbClr val="C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38559"/>
        <c:crosses val="max"/>
        <c:crossBetween val="midCat"/>
      </c:valAx>
      <c:valAx>
        <c:axId val="1466838559"/>
        <c:scaling>
          <c:orientation val="minMax"/>
        </c:scaling>
        <c:delete val="1"/>
        <c:axPos val="b"/>
        <c:numFmt formatCode="General" sourceLinked="1"/>
        <c:majorTickMark val="out"/>
        <c:minorTickMark val="none"/>
        <c:tickLblPos val="nextTo"/>
        <c:crossAx val="14668347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strRef>
              <c:f>'m-LEV4000-37Nm-2000W'!#REF!</c:f>
              <c:strCache>
                <c:ptCount val="1"/>
                <c:pt idx="0">
                  <c:v>#REF!</c:v>
                </c:pt>
              </c:strCache>
            </c:strRef>
          </c:xVal>
          <c:yVal>
            <c:numRef>
              <c:f>'m-LEV4000-37Nm-2000W'!#REF!</c:f>
              <c:numCache>
                <c:formatCode>General</c:formatCode>
                <c:ptCount val="1"/>
                <c:pt idx="0">
                  <c:v>1</c:v>
                </c:pt>
              </c:numCache>
            </c:numRef>
          </c:yVal>
          <c:smooth val="1"/>
          <c:extLst>
            <c:ext xmlns:c15="http://schemas.microsoft.com/office/drawing/2012/chart" uri="{02D57815-91ED-43cb-92C2-25804820EDAC}">
              <c15:filteredSeriesTitle>
                <c15:tx>
                  <c:strRef>
                    <c:extLst>
                      <c:ext uri="{02D57815-91ED-43cb-92C2-25804820EDAC}">
                        <c15:formulaRef>
                          <c15:sqref>'m-LEV4000-37Nm-2000W'!#REF!</c15:sqref>
                        </c15:formulaRef>
                      </c:ext>
                    </c:extLst>
                    <c:strCache>
                      <c:ptCount val="1"/>
                      <c:pt idx="0">
                        <c:v>#REF!</c:v>
                      </c:pt>
                    </c:strCache>
                  </c:strRef>
                </c15:tx>
              </c15:filteredSeriesTitle>
            </c:ext>
            <c:ext xmlns:c16="http://schemas.microsoft.com/office/drawing/2014/chart" uri="{C3380CC4-5D6E-409C-BE32-E72D297353CC}">
              <c16:uniqueId val="{00000000-8068-4EFB-8943-9EF93C94D79A}"/>
            </c:ext>
          </c:extLst>
        </c:ser>
        <c:dLbls>
          <c:showLegendKey val="0"/>
          <c:showVal val="0"/>
          <c:showCatName val="0"/>
          <c:showSerName val="0"/>
          <c:showPercent val="0"/>
          <c:showBubbleSize val="0"/>
        </c:dLbls>
        <c:axId val="1880010767"/>
        <c:axId val="1880011247"/>
      </c:scatterChart>
      <c:scatterChart>
        <c:scatterStyle val="smoothMarker"/>
        <c:varyColors val="0"/>
        <c:ser>
          <c:idx val="1"/>
          <c:order val="1"/>
          <c:spPr>
            <a:ln w="19050" cap="rnd">
              <a:solidFill>
                <a:schemeClr val="accent2"/>
              </a:solidFill>
              <a:round/>
            </a:ln>
            <a:effectLst/>
          </c:spPr>
          <c:marker>
            <c:symbol val="none"/>
          </c:marker>
          <c:xVal>
            <c:strRef>
              <c:f>'m-LEV4000-37Nm-2000W'!#REF!</c:f>
              <c:strCache>
                <c:ptCount val="1"/>
                <c:pt idx="0">
                  <c:v>#REF!</c:v>
                </c:pt>
              </c:strCache>
            </c:strRef>
          </c:xVal>
          <c:yVal>
            <c:numRef>
              <c:f>'m-LEV4000-37Nm-2000W'!#REF!</c:f>
              <c:numCache>
                <c:formatCode>General</c:formatCode>
                <c:ptCount val="1"/>
                <c:pt idx="0">
                  <c:v>1</c:v>
                </c:pt>
              </c:numCache>
            </c:numRef>
          </c:yVal>
          <c:smooth val="1"/>
          <c:extLst>
            <c:ext xmlns:c15="http://schemas.microsoft.com/office/drawing/2012/chart" uri="{02D57815-91ED-43cb-92C2-25804820EDAC}">
              <c15:filteredSeriesTitle>
                <c15:tx>
                  <c:strRef>
                    <c:extLst>
                      <c:ext uri="{02D57815-91ED-43cb-92C2-25804820EDAC}">
                        <c15:formulaRef>
                          <c15:sqref>'m-LEV4000-37Nm-2000W'!#REF!</c15:sqref>
                        </c15:formulaRef>
                      </c:ext>
                    </c:extLst>
                    <c:strCache>
                      <c:ptCount val="1"/>
                      <c:pt idx="0">
                        <c:v>#REF!</c:v>
                      </c:pt>
                    </c:strCache>
                  </c:strRef>
                </c15:tx>
              </c15:filteredSeriesTitle>
            </c:ext>
            <c:ext xmlns:c16="http://schemas.microsoft.com/office/drawing/2014/chart" uri="{C3380CC4-5D6E-409C-BE32-E72D297353CC}">
              <c16:uniqueId val="{00000001-8068-4EFB-8943-9EF93C94D79A}"/>
            </c:ext>
          </c:extLst>
        </c:ser>
        <c:dLbls>
          <c:showLegendKey val="0"/>
          <c:showVal val="0"/>
          <c:showCatName val="0"/>
          <c:showSerName val="0"/>
          <c:showPercent val="0"/>
          <c:showBubbleSize val="0"/>
        </c:dLbls>
        <c:axId val="1721221679"/>
        <c:axId val="1721213999"/>
      </c:scatterChart>
      <c:valAx>
        <c:axId val="188001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11247"/>
        <c:crosses val="autoZero"/>
        <c:crossBetween val="midCat"/>
        <c:majorUnit val="100"/>
      </c:valAx>
      <c:valAx>
        <c:axId val="188001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10767"/>
        <c:crosses val="autoZero"/>
        <c:crossBetween val="midCat"/>
      </c:valAx>
      <c:valAx>
        <c:axId val="1721213999"/>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221679"/>
        <c:crosses val="max"/>
        <c:crossBetween val="midCat"/>
      </c:valAx>
      <c:valAx>
        <c:axId val="1721221679"/>
        <c:scaling>
          <c:orientation val="minMax"/>
        </c:scaling>
        <c:delete val="1"/>
        <c:axPos val="b"/>
        <c:numFmt formatCode="General" sourceLinked="1"/>
        <c:majorTickMark val="out"/>
        <c:minorTickMark val="none"/>
        <c:tickLblPos val="nextTo"/>
        <c:crossAx val="17212139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'VehicleSimulation - LEV6000 (2)'!$G$1</c:f>
              <c:strCache>
                <c:ptCount val="1"/>
                <c:pt idx="0">
                  <c:v>Total Motor Torque (Nm)</c:v>
                </c:pt>
              </c:strCache>
            </c:strRef>
          </c:tx>
          <c:spPr>
            <a:ln w="19050" cap="rnd">
              <a:solidFill>
                <a:schemeClr val="accent1"/>
              </a:solidFill>
              <a:round/>
            </a:ln>
            <a:effectLst/>
          </c:spPr>
          <c:marker>
            <c:symbol val="none"/>
          </c:marker>
          <c:xVal>
            <c:numRef>
              <c:f>'VehicleSimulation - LEV6000 (2)'!$D$2:$D$182</c:f>
              <c:numCache>
                <c:formatCode>General</c:formatCode>
                <c:ptCount val="181"/>
                <c:pt idx="0">
                  <c:v>0</c:v>
                </c:pt>
                <c:pt idx="1">
                  <c:v>645.85682226019833</c:v>
                </c:pt>
                <c:pt idx="2">
                  <c:v>1288.0843599171844</c:v>
                </c:pt>
                <c:pt idx="3">
                  <c:v>1919.5055057990021</c:v>
                </c:pt>
                <c:pt idx="4">
                  <c:v>2533.3050054529158</c:v>
                </c:pt>
                <c:pt idx="5">
                  <c:v>2678.6605807875012</c:v>
                </c:pt>
                <c:pt idx="6">
                  <c:v>2722.4587085053531</c:v>
                </c:pt>
                <c:pt idx="7">
                  <c:v>2737.5718880420022</c:v>
                </c:pt>
                <c:pt idx="8">
                  <c:v>2742.9768839219169</c:v>
                </c:pt>
                <c:pt idx="9">
                  <c:v>2744.9329831891619</c:v>
                </c:pt>
                <c:pt idx="10">
                  <c:v>2745.6438786480844</c:v>
                </c:pt>
                <c:pt idx="11">
                  <c:v>2745.9026259681132</c:v>
                </c:pt>
                <c:pt idx="12">
                  <c:v>2745.9968547786621</c:v>
                </c:pt>
                <c:pt idx="13">
                  <c:v>2746.0311772088362</c:v>
                </c:pt>
                <c:pt idx="14">
                  <c:v>2746.0436799095414</c:v>
                </c:pt>
                <c:pt idx="15">
                  <c:v>2746.0482344137376</c:v>
                </c:pt>
                <c:pt idx="16">
                  <c:v>2746.0498935519095</c:v>
                </c:pt>
                <c:pt idx="17">
                  <c:v>2746.0504979533971</c:v>
                </c:pt>
                <c:pt idx="18">
                  <c:v>2746.0507181289267</c:v>
                </c:pt>
                <c:pt idx="19">
                  <c:v>2746.0507983360203</c:v>
                </c:pt>
                <c:pt idx="20">
                  <c:v>2746.0508275544298</c:v>
                </c:pt>
                <c:pt idx="21">
                  <c:v>2746.0508381983209</c:v>
                </c:pt>
                <c:pt idx="22">
                  <c:v>2746.0508420757528</c:v>
                </c:pt>
                <c:pt idx="23">
                  <c:v>2746.0508434882522</c:v>
                </c:pt>
                <c:pt idx="24">
                  <c:v>2746.050844002807</c:v>
                </c:pt>
                <c:pt idx="25">
                  <c:v>2746.050844190253</c:v>
                </c:pt>
                <c:pt idx="26">
                  <c:v>2746.0508442585369</c:v>
                </c:pt>
                <c:pt idx="27">
                  <c:v>2746.0508442834121</c:v>
                </c:pt>
                <c:pt idx="28">
                  <c:v>2746.0508442924729</c:v>
                </c:pt>
                <c:pt idx="29">
                  <c:v>2746.0508442957739</c:v>
                </c:pt>
                <c:pt idx="30">
                  <c:v>2746.0508442969776</c:v>
                </c:pt>
                <c:pt idx="31">
                  <c:v>2746.0508442974156</c:v>
                </c:pt>
                <c:pt idx="32">
                  <c:v>2746.0508442975752</c:v>
                </c:pt>
                <c:pt idx="33">
                  <c:v>2746.0508442976329</c:v>
                </c:pt>
                <c:pt idx="34">
                  <c:v>2746.0508442976538</c:v>
                </c:pt>
                <c:pt idx="35">
                  <c:v>2746.050844297662</c:v>
                </c:pt>
                <c:pt idx="36">
                  <c:v>2746.0508442976648</c:v>
                </c:pt>
                <c:pt idx="37">
                  <c:v>2746.0508442976648</c:v>
                </c:pt>
                <c:pt idx="38">
                  <c:v>2746.0508442976648</c:v>
                </c:pt>
                <c:pt idx="39">
                  <c:v>2746.0508442976648</c:v>
                </c:pt>
                <c:pt idx="40">
                  <c:v>2746.0508442976648</c:v>
                </c:pt>
                <c:pt idx="41">
                  <c:v>2746.0508442976648</c:v>
                </c:pt>
                <c:pt idx="42">
                  <c:v>2746.0508442976648</c:v>
                </c:pt>
                <c:pt idx="43">
                  <c:v>2746.0508442976648</c:v>
                </c:pt>
                <c:pt idx="44">
                  <c:v>2746.0508442976648</c:v>
                </c:pt>
                <c:pt idx="45">
                  <c:v>2746.0508442976648</c:v>
                </c:pt>
                <c:pt idx="46">
                  <c:v>2746.0508442976648</c:v>
                </c:pt>
                <c:pt idx="47">
                  <c:v>2746.0508442976648</c:v>
                </c:pt>
                <c:pt idx="48">
                  <c:v>2746.0508442976648</c:v>
                </c:pt>
                <c:pt idx="49">
                  <c:v>2746.0508442976648</c:v>
                </c:pt>
                <c:pt idx="50">
                  <c:v>2746.0508442976648</c:v>
                </c:pt>
                <c:pt idx="51">
                  <c:v>2746.0508442976648</c:v>
                </c:pt>
                <c:pt idx="52">
                  <c:v>2746.0508442976648</c:v>
                </c:pt>
                <c:pt idx="53">
                  <c:v>2746.0508442976648</c:v>
                </c:pt>
                <c:pt idx="54">
                  <c:v>2746.0508442976648</c:v>
                </c:pt>
                <c:pt idx="55">
                  <c:v>2746.0508442976648</c:v>
                </c:pt>
                <c:pt idx="56">
                  <c:v>2746.0508442976648</c:v>
                </c:pt>
                <c:pt idx="57">
                  <c:v>2746.0508442976648</c:v>
                </c:pt>
                <c:pt idx="58">
                  <c:v>2746.0508442976648</c:v>
                </c:pt>
                <c:pt idx="59">
                  <c:v>2746.0508442976648</c:v>
                </c:pt>
                <c:pt idx="60">
                  <c:v>2746.0508442976648</c:v>
                </c:pt>
                <c:pt idx="61">
                  <c:v>2746.0508442976648</c:v>
                </c:pt>
                <c:pt idx="62">
                  <c:v>2746.0508442976648</c:v>
                </c:pt>
                <c:pt idx="63">
                  <c:v>2746.0508442976648</c:v>
                </c:pt>
                <c:pt idx="64">
                  <c:v>2746.0508442976648</c:v>
                </c:pt>
                <c:pt idx="65">
                  <c:v>2746.0508442976648</c:v>
                </c:pt>
                <c:pt idx="66">
                  <c:v>2746.0508442976648</c:v>
                </c:pt>
                <c:pt idx="67">
                  <c:v>2746.0508442976648</c:v>
                </c:pt>
                <c:pt idx="68">
                  <c:v>2746.0508442976648</c:v>
                </c:pt>
                <c:pt idx="69">
                  <c:v>2746.0508442976648</c:v>
                </c:pt>
                <c:pt idx="70">
                  <c:v>2746.0508442976648</c:v>
                </c:pt>
                <c:pt idx="71">
                  <c:v>2746.0508442976648</c:v>
                </c:pt>
                <c:pt idx="72">
                  <c:v>2746.0508442976648</c:v>
                </c:pt>
                <c:pt idx="73">
                  <c:v>2746.0508442976648</c:v>
                </c:pt>
                <c:pt idx="74">
                  <c:v>2746.0508442976648</c:v>
                </c:pt>
                <c:pt idx="75">
                  <c:v>2746.0508442976648</c:v>
                </c:pt>
                <c:pt idx="76">
                  <c:v>2746.0508442976648</c:v>
                </c:pt>
                <c:pt idx="77">
                  <c:v>2746.0508442976648</c:v>
                </c:pt>
                <c:pt idx="78">
                  <c:v>2746.0508442976648</c:v>
                </c:pt>
                <c:pt idx="79">
                  <c:v>2746.0508442976648</c:v>
                </c:pt>
                <c:pt idx="80">
                  <c:v>2746.0508442976648</c:v>
                </c:pt>
                <c:pt idx="81">
                  <c:v>2746.0508442976648</c:v>
                </c:pt>
                <c:pt idx="82">
                  <c:v>2746.0508442976648</c:v>
                </c:pt>
                <c:pt idx="83">
                  <c:v>2746.0508442976648</c:v>
                </c:pt>
                <c:pt idx="84">
                  <c:v>2746.0508442976648</c:v>
                </c:pt>
                <c:pt idx="85">
                  <c:v>2746.0508442976648</c:v>
                </c:pt>
                <c:pt idx="86">
                  <c:v>2746.0508442976648</c:v>
                </c:pt>
                <c:pt idx="87">
                  <c:v>2746.0508442976648</c:v>
                </c:pt>
                <c:pt idx="88">
                  <c:v>2746.0508442976648</c:v>
                </c:pt>
                <c:pt idx="89">
                  <c:v>2746.0508442976648</c:v>
                </c:pt>
                <c:pt idx="90">
                  <c:v>2746.0508442976648</c:v>
                </c:pt>
                <c:pt idx="91">
                  <c:v>2746.0508442976648</c:v>
                </c:pt>
                <c:pt idx="92">
                  <c:v>2746.0508442976648</c:v>
                </c:pt>
                <c:pt idx="93">
                  <c:v>2746.0508442976648</c:v>
                </c:pt>
                <c:pt idx="94">
                  <c:v>2746.0508442976648</c:v>
                </c:pt>
                <c:pt idx="95">
                  <c:v>2746.0508442976648</c:v>
                </c:pt>
                <c:pt idx="96">
                  <c:v>2746.0508442976648</c:v>
                </c:pt>
                <c:pt idx="97">
                  <c:v>2746.0508442976648</c:v>
                </c:pt>
                <c:pt idx="98">
                  <c:v>2746.0508442976648</c:v>
                </c:pt>
                <c:pt idx="99">
                  <c:v>2746.0508442976648</c:v>
                </c:pt>
                <c:pt idx="100">
                  <c:v>2746.0508442976648</c:v>
                </c:pt>
                <c:pt idx="101">
                  <c:v>2746.0508442976648</c:v>
                </c:pt>
                <c:pt idx="102">
                  <c:v>2746.0508442976648</c:v>
                </c:pt>
                <c:pt idx="103">
                  <c:v>2746.0508442976648</c:v>
                </c:pt>
                <c:pt idx="104">
                  <c:v>2746.0508442976648</c:v>
                </c:pt>
                <c:pt idx="105">
                  <c:v>2746.0508442976648</c:v>
                </c:pt>
                <c:pt idx="106">
                  <c:v>2746.0508442976648</c:v>
                </c:pt>
                <c:pt idx="107">
                  <c:v>2746.0508442976648</c:v>
                </c:pt>
                <c:pt idx="108">
                  <c:v>2746.0508442976648</c:v>
                </c:pt>
                <c:pt idx="109">
                  <c:v>2746.0508442976648</c:v>
                </c:pt>
                <c:pt idx="110">
                  <c:v>2746.0508442976648</c:v>
                </c:pt>
                <c:pt idx="111">
                  <c:v>2746.0508442976648</c:v>
                </c:pt>
                <c:pt idx="112">
                  <c:v>2746.0508442976648</c:v>
                </c:pt>
                <c:pt idx="113">
                  <c:v>2746.0508442976648</c:v>
                </c:pt>
                <c:pt idx="114">
                  <c:v>2746.0508442976648</c:v>
                </c:pt>
                <c:pt idx="115">
                  <c:v>2746.0508442976648</c:v>
                </c:pt>
                <c:pt idx="116">
                  <c:v>2746.0508442976648</c:v>
                </c:pt>
                <c:pt idx="117">
                  <c:v>2746.0508442976648</c:v>
                </c:pt>
                <c:pt idx="118">
                  <c:v>2746.0508442976648</c:v>
                </c:pt>
                <c:pt idx="119">
                  <c:v>2746.0508442976648</c:v>
                </c:pt>
                <c:pt idx="120">
                  <c:v>2746.0508442976648</c:v>
                </c:pt>
                <c:pt idx="121">
                  <c:v>2746.0508442976648</c:v>
                </c:pt>
                <c:pt idx="122">
                  <c:v>2746.0508442976648</c:v>
                </c:pt>
                <c:pt idx="123">
                  <c:v>2746.0508442976648</c:v>
                </c:pt>
                <c:pt idx="124">
                  <c:v>2746.0508442976648</c:v>
                </c:pt>
                <c:pt idx="125">
                  <c:v>2746.0508442976648</c:v>
                </c:pt>
                <c:pt idx="126">
                  <c:v>2746.0508442976648</c:v>
                </c:pt>
                <c:pt idx="127">
                  <c:v>2746.0508442976648</c:v>
                </c:pt>
                <c:pt idx="128">
                  <c:v>2746.0508442976648</c:v>
                </c:pt>
                <c:pt idx="129">
                  <c:v>2746.0508442976648</c:v>
                </c:pt>
                <c:pt idx="130">
                  <c:v>2746.0508442976648</c:v>
                </c:pt>
                <c:pt idx="131">
                  <c:v>2746.0508442976648</c:v>
                </c:pt>
                <c:pt idx="132">
                  <c:v>2746.0508442976648</c:v>
                </c:pt>
                <c:pt idx="133">
                  <c:v>2746.0508442976648</c:v>
                </c:pt>
                <c:pt idx="134">
                  <c:v>2746.0508442976648</c:v>
                </c:pt>
                <c:pt idx="135">
                  <c:v>2746.0508442976648</c:v>
                </c:pt>
                <c:pt idx="136">
                  <c:v>2746.0508442976648</c:v>
                </c:pt>
                <c:pt idx="137">
                  <c:v>2746.0508442976648</c:v>
                </c:pt>
                <c:pt idx="138">
                  <c:v>2746.0508442976648</c:v>
                </c:pt>
                <c:pt idx="139">
                  <c:v>2746.0508442976648</c:v>
                </c:pt>
                <c:pt idx="140">
                  <c:v>2746.0508442976648</c:v>
                </c:pt>
                <c:pt idx="141">
                  <c:v>2746.0508442976648</c:v>
                </c:pt>
                <c:pt idx="142">
                  <c:v>2746.0508442976648</c:v>
                </c:pt>
                <c:pt idx="143">
                  <c:v>2746.0508442976648</c:v>
                </c:pt>
                <c:pt idx="144">
                  <c:v>2746.0508442976648</c:v>
                </c:pt>
                <c:pt idx="145">
                  <c:v>2746.0508442976648</c:v>
                </c:pt>
                <c:pt idx="146">
                  <c:v>2746.0508442976648</c:v>
                </c:pt>
                <c:pt idx="147">
                  <c:v>2746.0508442976648</c:v>
                </c:pt>
                <c:pt idx="148">
                  <c:v>2746.0508442976648</c:v>
                </c:pt>
                <c:pt idx="149">
                  <c:v>2746.0508442976648</c:v>
                </c:pt>
                <c:pt idx="150">
                  <c:v>2746.0508442976648</c:v>
                </c:pt>
                <c:pt idx="151">
                  <c:v>2746.0508442976648</c:v>
                </c:pt>
                <c:pt idx="152">
                  <c:v>2746.0508442976648</c:v>
                </c:pt>
                <c:pt idx="153">
                  <c:v>2746.0508442976648</c:v>
                </c:pt>
                <c:pt idx="154">
                  <c:v>2746.0508442976648</c:v>
                </c:pt>
                <c:pt idx="155">
                  <c:v>2746.0508442976648</c:v>
                </c:pt>
                <c:pt idx="156">
                  <c:v>2746.0508442976648</c:v>
                </c:pt>
                <c:pt idx="157">
                  <c:v>2746.0508442976648</c:v>
                </c:pt>
                <c:pt idx="158">
                  <c:v>2746.0508442976648</c:v>
                </c:pt>
                <c:pt idx="159">
                  <c:v>2746.0508442976648</c:v>
                </c:pt>
                <c:pt idx="160">
                  <c:v>2746.0508442976648</c:v>
                </c:pt>
                <c:pt idx="161">
                  <c:v>2746.0508442976648</c:v>
                </c:pt>
                <c:pt idx="162">
                  <c:v>2746.0508442976648</c:v>
                </c:pt>
                <c:pt idx="163">
                  <c:v>2746.0508442976648</c:v>
                </c:pt>
                <c:pt idx="164">
                  <c:v>2746.0508442976648</c:v>
                </c:pt>
                <c:pt idx="165">
                  <c:v>2746.0508442976648</c:v>
                </c:pt>
                <c:pt idx="166">
                  <c:v>2746.0508442976648</c:v>
                </c:pt>
                <c:pt idx="167">
                  <c:v>2746.0508442976648</c:v>
                </c:pt>
                <c:pt idx="168">
                  <c:v>2746.0508442976648</c:v>
                </c:pt>
                <c:pt idx="169">
                  <c:v>2746.0508442976648</c:v>
                </c:pt>
                <c:pt idx="170">
                  <c:v>2746.0508442976648</c:v>
                </c:pt>
                <c:pt idx="171">
                  <c:v>2746.0508442976648</c:v>
                </c:pt>
                <c:pt idx="172">
                  <c:v>2746.0508442976648</c:v>
                </c:pt>
                <c:pt idx="173">
                  <c:v>2746.0508442976648</c:v>
                </c:pt>
                <c:pt idx="174">
                  <c:v>2746.0508442976648</c:v>
                </c:pt>
                <c:pt idx="175">
                  <c:v>2746.0508442976648</c:v>
                </c:pt>
                <c:pt idx="176">
                  <c:v>2746.0508442976648</c:v>
                </c:pt>
                <c:pt idx="177">
                  <c:v>2746.0508442976648</c:v>
                </c:pt>
                <c:pt idx="178">
                  <c:v>2746.0508442976648</c:v>
                </c:pt>
                <c:pt idx="179">
                  <c:v>2746.0508442976648</c:v>
                </c:pt>
                <c:pt idx="180">
                  <c:v>2746.0508442976648</c:v>
                </c:pt>
              </c:numCache>
            </c:numRef>
          </c:xVal>
          <c:yVal>
            <c:numRef>
              <c:f>'VehicleSimulation - LEV6000 (2)'!$G$2:$G$182</c:f>
              <c:numCache>
                <c:formatCode>0.00</c:formatCode>
                <c:ptCount val="181"/>
                <c:pt idx="0">
                  <c:v>104</c:v>
                </c:pt>
                <c:pt idx="1">
                  <c:v>104</c:v>
                </c:pt>
                <c:pt idx="2">
                  <c:v>104</c:v>
                </c:pt>
                <c:pt idx="3">
                  <c:v>104</c:v>
                </c:pt>
                <c:pt idx="4">
                  <c:v>82.929029244049502</c:v>
                </c:pt>
                <c:pt idx="5">
                  <c:v>78.428945566346812</c:v>
                </c:pt>
                <c:pt idx="6">
                  <c:v>77.167203390438047</c:v>
                </c:pt>
                <c:pt idx="7">
                  <c:v>76.741190176218879</c:v>
                </c:pt>
                <c:pt idx="8">
                  <c:v>76.589972782024446</c:v>
                </c:pt>
                <c:pt idx="9">
                  <c:v>76.535393092627757</c:v>
                </c:pt>
                <c:pt idx="10">
                  <c:v>76.51557673413366</c:v>
                </c:pt>
                <c:pt idx="11">
                  <c:v>76.508366645824921</c:v>
                </c:pt>
                <c:pt idx="12">
                  <c:v>76.505741263216223</c:v>
                </c:pt>
                <c:pt idx="13">
                  <c:v>76.50478502390466</c:v>
                </c:pt>
                <c:pt idx="14">
                  <c:v>76.504436698626122</c:v>
                </c:pt>
                <c:pt idx="15">
                  <c:v>76.504309810913952</c:v>
                </c:pt>
                <c:pt idx="16">
                  <c:v>76.504263587711307</c:v>
                </c:pt>
                <c:pt idx="17">
                  <c:v>76.50424674924065</c:v>
                </c:pt>
                <c:pt idx="18">
                  <c:v>76.50424061520863</c:v>
                </c:pt>
                <c:pt idx="19">
                  <c:v>76.504238380660453</c:v>
                </c:pt>
                <c:pt idx="20">
                  <c:v>76.504237566643411</c:v>
                </c:pt>
                <c:pt idx="21">
                  <c:v>76.504237270107481</c:v>
                </c:pt>
                <c:pt idx="22">
                  <c:v>76.504237162083271</c:v>
                </c:pt>
                <c:pt idx="23">
                  <c:v>76.504237122731411</c:v>
                </c:pt>
                <c:pt idx="24">
                  <c:v>76.504237108396055</c:v>
                </c:pt>
                <c:pt idx="25">
                  <c:v>76.504237103173864</c:v>
                </c:pt>
                <c:pt idx="26">
                  <c:v>76.504237101271485</c:v>
                </c:pt>
                <c:pt idx="27">
                  <c:v>76.504237100578464</c:v>
                </c:pt>
                <c:pt idx="28">
                  <c:v>76.504237100326037</c:v>
                </c:pt>
                <c:pt idx="29">
                  <c:v>76.504237100234079</c:v>
                </c:pt>
                <c:pt idx="30">
                  <c:v>76.504237100200541</c:v>
                </c:pt>
                <c:pt idx="31">
                  <c:v>76.504237100188348</c:v>
                </c:pt>
                <c:pt idx="32">
                  <c:v>76.5042371001839</c:v>
                </c:pt>
                <c:pt idx="33">
                  <c:v>76.50423710018228</c:v>
                </c:pt>
                <c:pt idx="34">
                  <c:v>76.504237100181697</c:v>
                </c:pt>
                <c:pt idx="35">
                  <c:v>76.50423710018147</c:v>
                </c:pt>
                <c:pt idx="36">
                  <c:v>76.504237100181399</c:v>
                </c:pt>
                <c:pt idx="37">
                  <c:v>76.504237100181399</c:v>
                </c:pt>
                <c:pt idx="38">
                  <c:v>76.504237100181399</c:v>
                </c:pt>
                <c:pt idx="39">
                  <c:v>76.504237100181399</c:v>
                </c:pt>
                <c:pt idx="40">
                  <c:v>76.504237100181399</c:v>
                </c:pt>
                <c:pt idx="41">
                  <c:v>76.504237100181399</c:v>
                </c:pt>
                <c:pt idx="42">
                  <c:v>76.504237100181399</c:v>
                </c:pt>
                <c:pt idx="43">
                  <c:v>76.504237100181399</c:v>
                </c:pt>
                <c:pt idx="44">
                  <c:v>76.504237100181399</c:v>
                </c:pt>
                <c:pt idx="45">
                  <c:v>76.504237100181399</c:v>
                </c:pt>
                <c:pt idx="46">
                  <c:v>76.504237100181399</c:v>
                </c:pt>
                <c:pt idx="47">
                  <c:v>76.504237100181399</c:v>
                </c:pt>
                <c:pt idx="48">
                  <c:v>76.504237100181399</c:v>
                </c:pt>
                <c:pt idx="49">
                  <c:v>76.504237100181399</c:v>
                </c:pt>
                <c:pt idx="50">
                  <c:v>76.504237100181399</c:v>
                </c:pt>
                <c:pt idx="51">
                  <c:v>76.504237100181399</c:v>
                </c:pt>
                <c:pt idx="52">
                  <c:v>76.504237100181399</c:v>
                </c:pt>
                <c:pt idx="53">
                  <c:v>76.504237100181399</c:v>
                </c:pt>
                <c:pt idx="54">
                  <c:v>76.504237100181399</c:v>
                </c:pt>
                <c:pt idx="55">
                  <c:v>76.504237100181399</c:v>
                </c:pt>
                <c:pt idx="56">
                  <c:v>76.504237100181399</c:v>
                </c:pt>
                <c:pt idx="57">
                  <c:v>76.504237100181399</c:v>
                </c:pt>
                <c:pt idx="58">
                  <c:v>76.504237100181399</c:v>
                </c:pt>
                <c:pt idx="59">
                  <c:v>76.504237100181399</c:v>
                </c:pt>
                <c:pt idx="60">
                  <c:v>76.504237100181399</c:v>
                </c:pt>
                <c:pt idx="61">
                  <c:v>76.504237100181399</c:v>
                </c:pt>
                <c:pt idx="62">
                  <c:v>76.504237100181399</c:v>
                </c:pt>
                <c:pt idx="63">
                  <c:v>76.504237100181399</c:v>
                </c:pt>
                <c:pt idx="64">
                  <c:v>76.504237100181399</c:v>
                </c:pt>
                <c:pt idx="65">
                  <c:v>76.504237100181399</c:v>
                </c:pt>
                <c:pt idx="66">
                  <c:v>76.504237100181399</c:v>
                </c:pt>
                <c:pt idx="67">
                  <c:v>76.504237100181399</c:v>
                </c:pt>
                <c:pt idx="68">
                  <c:v>76.504237100181399</c:v>
                </c:pt>
                <c:pt idx="69">
                  <c:v>76.504237100181399</c:v>
                </c:pt>
                <c:pt idx="70">
                  <c:v>76.504237100181399</c:v>
                </c:pt>
                <c:pt idx="71">
                  <c:v>76.504237100181399</c:v>
                </c:pt>
                <c:pt idx="72">
                  <c:v>76.504237100181399</c:v>
                </c:pt>
                <c:pt idx="73">
                  <c:v>76.504237100181399</c:v>
                </c:pt>
                <c:pt idx="74">
                  <c:v>76.504237100181399</c:v>
                </c:pt>
                <c:pt idx="75">
                  <c:v>76.504237100181399</c:v>
                </c:pt>
                <c:pt idx="76">
                  <c:v>76.504237100181399</c:v>
                </c:pt>
                <c:pt idx="77">
                  <c:v>76.504237100181399</c:v>
                </c:pt>
                <c:pt idx="78">
                  <c:v>76.504237100181399</c:v>
                </c:pt>
                <c:pt idx="79">
                  <c:v>76.504237100181399</c:v>
                </c:pt>
                <c:pt idx="80">
                  <c:v>76.504237100181399</c:v>
                </c:pt>
                <c:pt idx="81">
                  <c:v>76.504237100181399</c:v>
                </c:pt>
                <c:pt idx="82">
                  <c:v>76.504237100181399</c:v>
                </c:pt>
                <c:pt idx="83">
                  <c:v>76.504237100181399</c:v>
                </c:pt>
                <c:pt idx="84">
                  <c:v>76.504237100181399</c:v>
                </c:pt>
                <c:pt idx="85">
                  <c:v>76.504237100181399</c:v>
                </c:pt>
                <c:pt idx="86">
                  <c:v>76.504237100181399</c:v>
                </c:pt>
                <c:pt idx="87">
                  <c:v>76.504237100181399</c:v>
                </c:pt>
                <c:pt idx="88">
                  <c:v>76.504237100181399</c:v>
                </c:pt>
                <c:pt idx="89">
                  <c:v>76.504237100181399</c:v>
                </c:pt>
                <c:pt idx="90">
                  <c:v>76.504237100181399</c:v>
                </c:pt>
                <c:pt idx="91">
                  <c:v>76.504237100181399</c:v>
                </c:pt>
                <c:pt idx="92">
                  <c:v>76.504237100181399</c:v>
                </c:pt>
                <c:pt idx="93">
                  <c:v>76.504237100181399</c:v>
                </c:pt>
                <c:pt idx="94">
                  <c:v>76.504237100181399</c:v>
                </c:pt>
                <c:pt idx="95">
                  <c:v>76.504237100181399</c:v>
                </c:pt>
                <c:pt idx="96">
                  <c:v>76.504237100181399</c:v>
                </c:pt>
                <c:pt idx="97">
                  <c:v>76.504237100181399</c:v>
                </c:pt>
                <c:pt idx="98">
                  <c:v>76.504237100181399</c:v>
                </c:pt>
                <c:pt idx="99">
                  <c:v>76.504237100181399</c:v>
                </c:pt>
                <c:pt idx="100">
                  <c:v>76.504237100181399</c:v>
                </c:pt>
                <c:pt idx="101">
                  <c:v>76.504237100181399</c:v>
                </c:pt>
                <c:pt idx="102">
                  <c:v>76.504237100181399</c:v>
                </c:pt>
                <c:pt idx="103">
                  <c:v>76.504237100181399</c:v>
                </c:pt>
                <c:pt idx="104">
                  <c:v>76.504237100181399</c:v>
                </c:pt>
                <c:pt idx="105">
                  <c:v>76.504237100181399</c:v>
                </c:pt>
                <c:pt idx="106">
                  <c:v>76.504237100181399</c:v>
                </c:pt>
                <c:pt idx="107">
                  <c:v>76.504237100181399</c:v>
                </c:pt>
                <c:pt idx="108">
                  <c:v>76.504237100181399</c:v>
                </c:pt>
                <c:pt idx="109">
                  <c:v>76.504237100181399</c:v>
                </c:pt>
                <c:pt idx="110">
                  <c:v>76.504237100181399</c:v>
                </c:pt>
                <c:pt idx="111">
                  <c:v>76.504237100181399</c:v>
                </c:pt>
                <c:pt idx="112">
                  <c:v>76.504237100181399</c:v>
                </c:pt>
                <c:pt idx="113">
                  <c:v>76.504237100181399</c:v>
                </c:pt>
                <c:pt idx="114">
                  <c:v>76.504237100181399</c:v>
                </c:pt>
                <c:pt idx="115">
                  <c:v>76.504237100181399</c:v>
                </c:pt>
                <c:pt idx="116">
                  <c:v>76.504237100181399</c:v>
                </c:pt>
                <c:pt idx="117">
                  <c:v>76.504237100181399</c:v>
                </c:pt>
                <c:pt idx="118">
                  <c:v>76.504237100181399</c:v>
                </c:pt>
                <c:pt idx="119">
                  <c:v>76.504237100181399</c:v>
                </c:pt>
                <c:pt idx="120">
                  <c:v>76.504237100181399</c:v>
                </c:pt>
                <c:pt idx="121">
                  <c:v>76.504237100181399</c:v>
                </c:pt>
                <c:pt idx="122">
                  <c:v>76.504237100181399</c:v>
                </c:pt>
                <c:pt idx="123">
                  <c:v>76.504237100181399</c:v>
                </c:pt>
                <c:pt idx="124">
                  <c:v>76.504237100181399</c:v>
                </c:pt>
                <c:pt idx="125">
                  <c:v>76.504237100181399</c:v>
                </c:pt>
                <c:pt idx="126">
                  <c:v>76.504237100181399</c:v>
                </c:pt>
                <c:pt idx="127">
                  <c:v>76.504237100181399</c:v>
                </c:pt>
                <c:pt idx="128">
                  <c:v>76.504237100181399</c:v>
                </c:pt>
                <c:pt idx="129">
                  <c:v>76.504237100181399</c:v>
                </c:pt>
                <c:pt idx="130">
                  <c:v>76.504237100181399</c:v>
                </c:pt>
                <c:pt idx="131">
                  <c:v>76.504237100181399</c:v>
                </c:pt>
                <c:pt idx="132">
                  <c:v>76.504237100181399</c:v>
                </c:pt>
                <c:pt idx="133">
                  <c:v>76.504237100181399</c:v>
                </c:pt>
                <c:pt idx="134">
                  <c:v>76.504237100181399</c:v>
                </c:pt>
                <c:pt idx="135">
                  <c:v>76.504237100181399</c:v>
                </c:pt>
                <c:pt idx="136">
                  <c:v>76.504237100181399</c:v>
                </c:pt>
                <c:pt idx="137">
                  <c:v>76.504237100181399</c:v>
                </c:pt>
                <c:pt idx="138">
                  <c:v>76.504237100181399</c:v>
                </c:pt>
                <c:pt idx="139">
                  <c:v>76.504237100181399</c:v>
                </c:pt>
                <c:pt idx="140">
                  <c:v>76.504237100181399</c:v>
                </c:pt>
                <c:pt idx="141">
                  <c:v>76.504237100181399</c:v>
                </c:pt>
                <c:pt idx="142">
                  <c:v>76.504237100181399</c:v>
                </c:pt>
                <c:pt idx="143">
                  <c:v>76.504237100181399</c:v>
                </c:pt>
                <c:pt idx="144">
                  <c:v>76.504237100181399</c:v>
                </c:pt>
                <c:pt idx="145">
                  <c:v>76.504237100181399</c:v>
                </c:pt>
                <c:pt idx="146">
                  <c:v>76.504237100181399</c:v>
                </c:pt>
                <c:pt idx="147">
                  <c:v>76.504237100181399</c:v>
                </c:pt>
                <c:pt idx="148">
                  <c:v>76.504237100181399</c:v>
                </c:pt>
                <c:pt idx="149">
                  <c:v>76.504237100181399</c:v>
                </c:pt>
                <c:pt idx="150">
                  <c:v>76.504237100181399</c:v>
                </c:pt>
                <c:pt idx="151">
                  <c:v>76.504237100181399</c:v>
                </c:pt>
                <c:pt idx="152">
                  <c:v>76.504237100181399</c:v>
                </c:pt>
                <c:pt idx="153">
                  <c:v>76.504237100181399</c:v>
                </c:pt>
                <c:pt idx="154">
                  <c:v>76.504237100181399</c:v>
                </c:pt>
                <c:pt idx="155">
                  <c:v>76.504237100181399</c:v>
                </c:pt>
                <c:pt idx="156">
                  <c:v>76.504237100181399</c:v>
                </c:pt>
                <c:pt idx="157">
                  <c:v>76.504237100181399</c:v>
                </c:pt>
                <c:pt idx="158">
                  <c:v>76.504237100181399</c:v>
                </c:pt>
                <c:pt idx="159">
                  <c:v>76.504237100181399</c:v>
                </c:pt>
                <c:pt idx="160">
                  <c:v>76.504237100181399</c:v>
                </c:pt>
                <c:pt idx="161">
                  <c:v>76.504237100181399</c:v>
                </c:pt>
                <c:pt idx="162">
                  <c:v>76.504237100181399</c:v>
                </c:pt>
                <c:pt idx="163">
                  <c:v>76.504237100181399</c:v>
                </c:pt>
                <c:pt idx="164">
                  <c:v>76.504237100181399</c:v>
                </c:pt>
                <c:pt idx="165">
                  <c:v>76.504237100181399</c:v>
                </c:pt>
                <c:pt idx="166">
                  <c:v>76.504237100181399</c:v>
                </c:pt>
                <c:pt idx="167">
                  <c:v>76.504237100181399</c:v>
                </c:pt>
                <c:pt idx="168">
                  <c:v>76.504237100181399</c:v>
                </c:pt>
                <c:pt idx="169">
                  <c:v>76.504237100181399</c:v>
                </c:pt>
                <c:pt idx="170">
                  <c:v>76.504237100181399</c:v>
                </c:pt>
                <c:pt idx="171">
                  <c:v>76.504237100181399</c:v>
                </c:pt>
                <c:pt idx="172">
                  <c:v>76.504237100181399</c:v>
                </c:pt>
                <c:pt idx="173">
                  <c:v>76.504237100181399</c:v>
                </c:pt>
                <c:pt idx="174">
                  <c:v>76.504237100181399</c:v>
                </c:pt>
                <c:pt idx="175">
                  <c:v>76.504237100181399</c:v>
                </c:pt>
                <c:pt idx="176">
                  <c:v>76.504237100181399</c:v>
                </c:pt>
                <c:pt idx="177">
                  <c:v>76.504237100181399</c:v>
                </c:pt>
                <c:pt idx="178">
                  <c:v>76.504237100181399</c:v>
                </c:pt>
                <c:pt idx="179">
                  <c:v>76.504237100181399</c:v>
                </c:pt>
                <c:pt idx="180">
                  <c:v>76.504237100181399</c:v>
                </c:pt>
              </c:numCache>
            </c:numRef>
          </c:yVal>
          <c:smooth val="1"/>
          <c:extLst>
            <c:ext xmlns:c16="http://schemas.microsoft.com/office/drawing/2014/chart" uri="{C3380CC4-5D6E-409C-BE32-E72D297353CC}">
              <c16:uniqueId val="{00000000-429D-4AF1-8284-9019BAD905F4}"/>
            </c:ext>
          </c:extLst>
        </c:ser>
        <c:dLbls>
          <c:showLegendKey val="0"/>
          <c:showVal val="0"/>
          <c:showCatName val="0"/>
          <c:showSerName val="0"/>
          <c:showPercent val="0"/>
          <c:showBubbleSize val="0"/>
        </c:dLbls>
        <c:axId val="1829265407"/>
        <c:axId val="1829275487"/>
      </c:scatterChart>
      <c:valAx>
        <c:axId val="1829265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75487"/>
        <c:crosses val="autoZero"/>
        <c:crossBetween val="midCat"/>
      </c:valAx>
      <c:valAx>
        <c:axId val="1829275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265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DCE Vehicle Simulation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'VehicleSimulation - LEV6000 (2)'!$C$1</c:f>
              <c:strCache>
                <c:ptCount val="1"/>
                <c:pt idx="0">
                  <c:v>Vehicle Speed (Kmph)</c:v>
                </c:pt>
              </c:strCache>
            </c:strRef>
          </c:tx>
          <c:spPr>
            <a:ln w="19050" cap="rnd">
              <a:solidFill>
                <a:schemeClr val="accent1"/>
              </a:solidFill>
              <a:round/>
            </a:ln>
            <a:effectLst/>
          </c:spPr>
          <c:marker>
            <c:symbol val="none"/>
          </c:marker>
          <c:xVal>
            <c:numRef>
              <c:f>'VehicleSimulation - LEV6000 (2)'!$A$2:$A$182</c:f>
              <c:numCache>
                <c:formatCode>General</c:formatCode>
                <c:ptCount val="18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numCache>
            </c:numRef>
          </c:xVal>
          <c:yVal>
            <c:numRef>
              <c:f>'VehicleSimulation - LEV6000 (2)'!$C$2:$C$182</c:f>
              <c:numCache>
                <c:formatCode>0</c:formatCode>
                <c:ptCount val="181"/>
                <c:pt idx="0" formatCode="General">
                  <c:v>0</c:v>
                </c:pt>
                <c:pt idx="1">
                  <c:v>13.034533398337521</c:v>
                </c:pt>
                <c:pt idx="2">
                  <c:v>25.995821412029116</c:v>
                </c:pt>
                <c:pt idx="3">
                  <c:v>38.739017319770632</c:v>
                </c:pt>
                <c:pt idx="4">
                  <c:v>51.126577228363772</c:v>
                </c:pt>
                <c:pt idx="5">
                  <c:v>54.060109918632264</c:v>
                </c:pt>
                <c:pt idx="6">
                  <c:v>54.944033628728171</c:v>
                </c:pt>
                <c:pt idx="7">
                  <c:v>55.249044331775558</c:v>
                </c:pt>
                <c:pt idx="8">
                  <c:v>55.358126711780578</c:v>
                </c:pt>
                <c:pt idx="9">
                  <c:v>55.397604255952274</c:v>
                </c:pt>
                <c:pt idx="10">
                  <c:v>55.411951384112385</c:v>
                </c:pt>
                <c:pt idx="11">
                  <c:v>55.417173362836472</c:v>
                </c:pt>
                <c:pt idx="12">
                  <c:v>55.41907506695393</c:v>
                </c:pt>
                <c:pt idx="13">
                  <c:v>55.419767754322088</c:v>
                </c:pt>
                <c:pt idx="14">
                  <c:v>55.420020080943551</c:v>
                </c:pt>
                <c:pt idx="15">
                  <c:v>55.420111998896594</c:v>
                </c:pt>
                <c:pt idx="16">
                  <c:v>55.420145483240439</c:v>
                </c:pt>
                <c:pt idx="17">
                  <c:v>55.42015768113184</c:v>
                </c:pt>
                <c:pt idx="18">
                  <c:v>55.420162124663591</c:v>
                </c:pt>
                <c:pt idx="19">
                  <c:v>55.420163743384649</c:v>
                </c:pt>
                <c:pt idx="20">
                  <c:v>55.420164333063845</c:v>
                </c:pt>
                <c:pt idx="21">
                  <c:v>55.420164547876396</c:v>
                </c:pt>
                <c:pt idx="22">
                  <c:v>55.420164626129846</c:v>
                </c:pt>
                <c:pt idx="23">
                  <c:v>55.420164654636572</c:v>
                </c:pt>
                <c:pt idx="24">
                  <c:v>55.420164665021204</c:v>
                </c:pt>
                <c:pt idx="25">
                  <c:v>55.42016466880419</c:v>
                </c:pt>
                <c:pt idx="26">
                  <c:v>55.420164670182288</c:v>
                </c:pt>
                <c:pt idx="27">
                  <c:v>55.420164670684308</c:v>
                </c:pt>
                <c:pt idx="28">
                  <c:v>55.420164670867173</c:v>
                </c:pt>
                <c:pt idx="29">
                  <c:v>55.420164670933794</c:v>
                </c:pt>
                <c:pt idx="30">
                  <c:v>55.42016467095808</c:v>
                </c:pt>
                <c:pt idx="31">
                  <c:v>55.420164670966919</c:v>
                </c:pt>
                <c:pt idx="32">
                  <c:v>55.420164670970138</c:v>
                </c:pt>
                <c:pt idx="33">
                  <c:v>55.42016467097131</c:v>
                </c:pt>
                <c:pt idx="34">
                  <c:v>55.420164670971729</c:v>
                </c:pt>
                <c:pt idx="35">
                  <c:v>55.420164670971893</c:v>
                </c:pt>
                <c:pt idx="36">
                  <c:v>55.42016467097195</c:v>
                </c:pt>
                <c:pt idx="37">
                  <c:v>55.42016467097195</c:v>
                </c:pt>
                <c:pt idx="38">
                  <c:v>55.42016467097195</c:v>
                </c:pt>
                <c:pt idx="39">
                  <c:v>55.42016467097195</c:v>
                </c:pt>
                <c:pt idx="40">
                  <c:v>55.42016467097195</c:v>
                </c:pt>
                <c:pt idx="41">
                  <c:v>55.42016467097195</c:v>
                </c:pt>
                <c:pt idx="42">
                  <c:v>55.42016467097195</c:v>
                </c:pt>
                <c:pt idx="43">
                  <c:v>55.42016467097195</c:v>
                </c:pt>
                <c:pt idx="44">
                  <c:v>55.42016467097195</c:v>
                </c:pt>
                <c:pt idx="45">
                  <c:v>55.42016467097195</c:v>
                </c:pt>
                <c:pt idx="46">
                  <c:v>55.42016467097195</c:v>
                </c:pt>
                <c:pt idx="47">
                  <c:v>55.42016467097195</c:v>
                </c:pt>
                <c:pt idx="48">
                  <c:v>55.42016467097195</c:v>
                </c:pt>
                <c:pt idx="49">
                  <c:v>55.42016467097195</c:v>
                </c:pt>
                <c:pt idx="50">
                  <c:v>55.42016467097195</c:v>
                </c:pt>
                <c:pt idx="51">
                  <c:v>55.42016467097195</c:v>
                </c:pt>
                <c:pt idx="52">
                  <c:v>55.42016467097195</c:v>
                </c:pt>
                <c:pt idx="53">
                  <c:v>55.42016467097195</c:v>
                </c:pt>
                <c:pt idx="54">
                  <c:v>55.42016467097195</c:v>
                </c:pt>
                <c:pt idx="55">
                  <c:v>55.42016467097195</c:v>
                </c:pt>
                <c:pt idx="56">
                  <c:v>55.42016467097195</c:v>
                </c:pt>
                <c:pt idx="57">
                  <c:v>55.42016467097195</c:v>
                </c:pt>
                <c:pt idx="58">
                  <c:v>55.42016467097195</c:v>
                </c:pt>
                <c:pt idx="59">
                  <c:v>55.42016467097195</c:v>
                </c:pt>
                <c:pt idx="60">
                  <c:v>55.42016467097195</c:v>
                </c:pt>
                <c:pt idx="61">
                  <c:v>55.42016467097195</c:v>
                </c:pt>
                <c:pt idx="62">
                  <c:v>55.42016467097195</c:v>
                </c:pt>
                <c:pt idx="63">
                  <c:v>55.42016467097195</c:v>
                </c:pt>
                <c:pt idx="64">
                  <c:v>55.42016467097195</c:v>
                </c:pt>
                <c:pt idx="65">
                  <c:v>55.42016467097195</c:v>
                </c:pt>
                <c:pt idx="66">
                  <c:v>55.42016467097195</c:v>
                </c:pt>
                <c:pt idx="67">
                  <c:v>55.42016467097195</c:v>
                </c:pt>
                <c:pt idx="68">
                  <c:v>55.42016467097195</c:v>
                </c:pt>
                <c:pt idx="69">
                  <c:v>55.42016467097195</c:v>
                </c:pt>
                <c:pt idx="70">
                  <c:v>55.42016467097195</c:v>
                </c:pt>
                <c:pt idx="71">
                  <c:v>55.42016467097195</c:v>
                </c:pt>
                <c:pt idx="72">
                  <c:v>55.42016467097195</c:v>
                </c:pt>
                <c:pt idx="73">
                  <c:v>55.42016467097195</c:v>
                </c:pt>
                <c:pt idx="74">
                  <c:v>55.42016467097195</c:v>
                </c:pt>
                <c:pt idx="75">
                  <c:v>55.42016467097195</c:v>
                </c:pt>
                <c:pt idx="76">
                  <c:v>55.42016467097195</c:v>
                </c:pt>
                <c:pt idx="77">
                  <c:v>55.42016467097195</c:v>
                </c:pt>
                <c:pt idx="78">
                  <c:v>55.42016467097195</c:v>
                </c:pt>
                <c:pt idx="79">
                  <c:v>55.42016467097195</c:v>
                </c:pt>
                <c:pt idx="80">
                  <c:v>55.42016467097195</c:v>
                </c:pt>
                <c:pt idx="81">
                  <c:v>55.42016467097195</c:v>
                </c:pt>
                <c:pt idx="82">
                  <c:v>55.42016467097195</c:v>
                </c:pt>
                <c:pt idx="83">
                  <c:v>55.42016467097195</c:v>
                </c:pt>
                <c:pt idx="84">
                  <c:v>55.42016467097195</c:v>
                </c:pt>
                <c:pt idx="85">
                  <c:v>55.42016467097195</c:v>
                </c:pt>
                <c:pt idx="86">
                  <c:v>55.42016467097195</c:v>
                </c:pt>
                <c:pt idx="87">
                  <c:v>55.42016467097195</c:v>
                </c:pt>
                <c:pt idx="88">
                  <c:v>55.42016467097195</c:v>
                </c:pt>
                <c:pt idx="89">
                  <c:v>55.42016467097195</c:v>
                </c:pt>
                <c:pt idx="90">
                  <c:v>55.42016467097195</c:v>
                </c:pt>
                <c:pt idx="91">
                  <c:v>55.42016467097195</c:v>
                </c:pt>
                <c:pt idx="92">
                  <c:v>55.42016467097195</c:v>
                </c:pt>
                <c:pt idx="93">
                  <c:v>55.42016467097195</c:v>
                </c:pt>
                <c:pt idx="94">
                  <c:v>55.42016467097195</c:v>
                </c:pt>
                <c:pt idx="95">
                  <c:v>55.42016467097195</c:v>
                </c:pt>
                <c:pt idx="96">
                  <c:v>55.42016467097195</c:v>
                </c:pt>
                <c:pt idx="97">
                  <c:v>55.42016467097195</c:v>
                </c:pt>
                <c:pt idx="98">
                  <c:v>55.42016467097195</c:v>
                </c:pt>
                <c:pt idx="99">
                  <c:v>55.42016467097195</c:v>
                </c:pt>
                <c:pt idx="100">
                  <c:v>55.42016467097195</c:v>
                </c:pt>
                <c:pt idx="101">
                  <c:v>55.42016467097195</c:v>
                </c:pt>
                <c:pt idx="102">
                  <c:v>55.42016467097195</c:v>
                </c:pt>
                <c:pt idx="103">
                  <c:v>55.42016467097195</c:v>
                </c:pt>
                <c:pt idx="104">
                  <c:v>55.42016467097195</c:v>
                </c:pt>
                <c:pt idx="105">
                  <c:v>55.42016467097195</c:v>
                </c:pt>
                <c:pt idx="106">
                  <c:v>55.42016467097195</c:v>
                </c:pt>
                <c:pt idx="107">
                  <c:v>55.42016467097195</c:v>
                </c:pt>
                <c:pt idx="108">
                  <c:v>55.42016467097195</c:v>
                </c:pt>
                <c:pt idx="109">
                  <c:v>55.42016467097195</c:v>
                </c:pt>
                <c:pt idx="110">
                  <c:v>55.42016467097195</c:v>
                </c:pt>
                <c:pt idx="111">
                  <c:v>55.42016467097195</c:v>
                </c:pt>
                <c:pt idx="112">
                  <c:v>55.42016467097195</c:v>
                </c:pt>
                <c:pt idx="113">
                  <c:v>55.42016467097195</c:v>
                </c:pt>
                <c:pt idx="114">
                  <c:v>55.42016467097195</c:v>
                </c:pt>
                <c:pt idx="115">
                  <c:v>55.42016467097195</c:v>
                </c:pt>
                <c:pt idx="116">
                  <c:v>55.42016467097195</c:v>
                </c:pt>
                <c:pt idx="117">
                  <c:v>55.42016467097195</c:v>
                </c:pt>
                <c:pt idx="118">
                  <c:v>55.42016467097195</c:v>
                </c:pt>
                <c:pt idx="119">
                  <c:v>55.42016467097195</c:v>
                </c:pt>
                <c:pt idx="120">
                  <c:v>55.42016467097195</c:v>
                </c:pt>
                <c:pt idx="121">
                  <c:v>55.42016467097195</c:v>
                </c:pt>
                <c:pt idx="122">
                  <c:v>55.42016467097195</c:v>
                </c:pt>
                <c:pt idx="123">
                  <c:v>55.42016467097195</c:v>
                </c:pt>
                <c:pt idx="124">
                  <c:v>55.42016467097195</c:v>
                </c:pt>
                <c:pt idx="125">
                  <c:v>55.42016467097195</c:v>
                </c:pt>
                <c:pt idx="126">
                  <c:v>55.42016467097195</c:v>
                </c:pt>
                <c:pt idx="127">
                  <c:v>55.42016467097195</c:v>
                </c:pt>
                <c:pt idx="128">
                  <c:v>55.42016467097195</c:v>
                </c:pt>
                <c:pt idx="129">
                  <c:v>55.42016467097195</c:v>
                </c:pt>
                <c:pt idx="130">
                  <c:v>55.42016467097195</c:v>
                </c:pt>
                <c:pt idx="131">
                  <c:v>55.42016467097195</c:v>
                </c:pt>
                <c:pt idx="132">
                  <c:v>55.42016467097195</c:v>
                </c:pt>
                <c:pt idx="133">
                  <c:v>55.42016467097195</c:v>
                </c:pt>
                <c:pt idx="134">
                  <c:v>55.42016467097195</c:v>
                </c:pt>
                <c:pt idx="135">
                  <c:v>55.42016467097195</c:v>
                </c:pt>
                <c:pt idx="136">
                  <c:v>55.42016467097195</c:v>
                </c:pt>
                <c:pt idx="137">
                  <c:v>55.42016467097195</c:v>
                </c:pt>
                <c:pt idx="138">
                  <c:v>55.42016467097195</c:v>
                </c:pt>
                <c:pt idx="139">
                  <c:v>55.42016467097195</c:v>
                </c:pt>
                <c:pt idx="140">
                  <c:v>55.42016467097195</c:v>
                </c:pt>
                <c:pt idx="141">
                  <c:v>55.42016467097195</c:v>
                </c:pt>
                <c:pt idx="142">
                  <c:v>55.42016467097195</c:v>
                </c:pt>
                <c:pt idx="143">
                  <c:v>55.42016467097195</c:v>
                </c:pt>
                <c:pt idx="144">
                  <c:v>55.42016467097195</c:v>
                </c:pt>
                <c:pt idx="145">
                  <c:v>55.42016467097195</c:v>
                </c:pt>
                <c:pt idx="146">
                  <c:v>55.42016467097195</c:v>
                </c:pt>
                <c:pt idx="147">
                  <c:v>55.42016467097195</c:v>
                </c:pt>
                <c:pt idx="148">
                  <c:v>55.42016467097195</c:v>
                </c:pt>
                <c:pt idx="149">
                  <c:v>55.42016467097195</c:v>
                </c:pt>
                <c:pt idx="150">
                  <c:v>55.42016467097195</c:v>
                </c:pt>
                <c:pt idx="151">
                  <c:v>55.42016467097195</c:v>
                </c:pt>
                <c:pt idx="152">
                  <c:v>55.42016467097195</c:v>
                </c:pt>
                <c:pt idx="153">
                  <c:v>55.42016467097195</c:v>
                </c:pt>
                <c:pt idx="154">
                  <c:v>55.42016467097195</c:v>
                </c:pt>
                <c:pt idx="155">
                  <c:v>55.42016467097195</c:v>
                </c:pt>
                <c:pt idx="156">
                  <c:v>55.42016467097195</c:v>
                </c:pt>
                <c:pt idx="157">
                  <c:v>55.42016467097195</c:v>
                </c:pt>
                <c:pt idx="158">
                  <c:v>55.42016467097195</c:v>
                </c:pt>
                <c:pt idx="159">
                  <c:v>55.42016467097195</c:v>
                </c:pt>
                <c:pt idx="160">
                  <c:v>55.42016467097195</c:v>
                </c:pt>
                <c:pt idx="161">
                  <c:v>55.42016467097195</c:v>
                </c:pt>
                <c:pt idx="162">
                  <c:v>55.42016467097195</c:v>
                </c:pt>
                <c:pt idx="163">
                  <c:v>55.42016467097195</c:v>
                </c:pt>
                <c:pt idx="164">
                  <c:v>55.42016467097195</c:v>
                </c:pt>
                <c:pt idx="165">
                  <c:v>55.42016467097195</c:v>
                </c:pt>
                <c:pt idx="166">
                  <c:v>55.42016467097195</c:v>
                </c:pt>
                <c:pt idx="167">
                  <c:v>55.42016467097195</c:v>
                </c:pt>
                <c:pt idx="168">
                  <c:v>55.42016467097195</c:v>
                </c:pt>
                <c:pt idx="169">
                  <c:v>55.42016467097195</c:v>
                </c:pt>
                <c:pt idx="170">
                  <c:v>55.42016467097195</c:v>
                </c:pt>
                <c:pt idx="171">
                  <c:v>55.42016467097195</c:v>
                </c:pt>
                <c:pt idx="172">
                  <c:v>55.42016467097195</c:v>
                </c:pt>
                <c:pt idx="173">
                  <c:v>55.42016467097195</c:v>
                </c:pt>
                <c:pt idx="174">
                  <c:v>55.42016467097195</c:v>
                </c:pt>
                <c:pt idx="175">
                  <c:v>55.42016467097195</c:v>
                </c:pt>
                <c:pt idx="176">
                  <c:v>55.42016467097195</c:v>
                </c:pt>
                <c:pt idx="177">
                  <c:v>55.42016467097195</c:v>
                </c:pt>
                <c:pt idx="178">
                  <c:v>55.42016467097195</c:v>
                </c:pt>
                <c:pt idx="179">
                  <c:v>55.42016467097195</c:v>
                </c:pt>
                <c:pt idx="180">
                  <c:v>55.42016467097195</c:v>
                </c:pt>
              </c:numCache>
            </c:numRef>
          </c:yVal>
          <c:smooth val="1"/>
          <c:extLst>
            <c:ext xmlns:c16="http://schemas.microsoft.com/office/drawing/2014/chart" uri="{C3380CC4-5D6E-409C-BE32-E72D297353CC}">
              <c16:uniqueId val="{00000000-9383-425B-8F6B-20CBFC76CF81}"/>
            </c:ext>
          </c:extLst>
        </c:ser>
        <c:ser>
          <c:idx val="2"/>
          <c:order val="2"/>
          <c:tx>
            <c:strRef>
              <c:f>'VehicleSimulation - LEV6000 (2)'!$G$1</c:f>
              <c:strCache>
                <c:ptCount val="1"/>
                <c:pt idx="0">
                  <c:v>Total Motor Torque (Nm)</c:v>
                </c:pt>
              </c:strCache>
            </c:strRef>
          </c:tx>
          <c:spPr>
            <a:ln w="19050" cap="rnd">
              <a:solidFill>
                <a:srgbClr val="00B050"/>
              </a:solidFill>
              <a:round/>
            </a:ln>
            <a:effectLst/>
          </c:spPr>
          <c:marker>
            <c:symbol val="none"/>
          </c:marker>
          <c:xVal>
            <c:numRef>
              <c:f>'VehicleSimulation - LEV6000 (2)'!$A$2:$A$182</c:f>
              <c:numCache>
                <c:formatCode>General</c:formatCode>
                <c:ptCount val="18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numCache>
            </c:numRef>
          </c:xVal>
          <c:yVal>
            <c:numRef>
              <c:f>'VehicleSimulation - LEV6000 (2)'!$G$2:$G$182</c:f>
              <c:numCache>
                <c:formatCode>0.00</c:formatCode>
                <c:ptCount val="181"/>
                <c:pt idx="0">
                  <c:v>104</c:v>
                </c:pt>
                <c:pt idx="1">
                  <c:v>104</c:v>
                </c:pt>
                <c:pt idx="2">
                  <c:v>104</c:v>
                </c:pt>
                <c:pt idx="3">
                  <c:v>104</c:v>
                </c:pt>
                <c:pt idx="4">
                  <c:v>82.929029244049502</c:v>
                </c:pt>
                <c:pt idx="5">
                  <c:v>78.428945566346812</c:v>
                </c:pt>
                <c:pt idx="6">
                  <c:v>77.167203390438047</c:v>
                </c:pt>
                <c:pt idx="7">
                  <c:v>76.741190176218879</c:v>
                </c:pt>
                <c:pt idx="8">
                  <c:v>76.589972782024446</c:v>
                </c:pt>
                <c:pt idx="9">
                  <c:v>76.535393092627757</c:v>
                </c:pt>
                <c:pt idx="10">
                  <c:v>76.51557673413366</c:v>
                </c:pt>
                <c:pt idx="11">
                  <c:v>76.508366645824921</c:v>
                </c:pt>
                <c:pt idx="12">
                  <c:v>76.505741263216223</c:v>
                </c:pt>
                <c:pt idx="13">
                  <c:v>76.50478502390466</c:v>
                </c:pt>
                <c:pt idx="14">
                  <c:v>76.504436698626122</c:v>
                </c:pt>
                <c:pt idx="15">
                  <c:v>76.504309810913952</c:v>
                </c:pt>
                <c:pt idx="16">
                  <c:v>76.504263587711307</c:v>
                </c:pt>
                <c:pt idx="17">
                  <c:v>76.50424674924065</c:v>
                </c:pt>
                <c:pt idx="18">
                  <c:v>76.50424061520863</c:v>
                </c:pt>
                <c:pt idx="19">
                  <c:v>76.504238380660453</c:v>
                </c:pt>
                <c:pt idx="20">
                  <c:v>76.504237566643411</c:v>
                </c:pt>
                <c:pt idx="21">
                  <c:v>76.504237270107481</c:v>
                </c:pt>
                <c:pt idx="22">
                  <c:v>76.504237162083271</c:v>
                </c:pt>
                <c:pt idx="23">
                  <c:v>76.504237122731411</c:v>
                </c:pt>
                <c:pt idx="24">
                  <c:v>76.504237108396055</c:v>
                </c:pt>
                <c:pt idx="25">
                  <c:v>76.504237103173864</c:v>
                </c:pt>
                <c:pt idx="26">
                  <c:v>76.504237101271485</c:v>
                </c:pt>
                <c:pt idx="27">
                  <c:v>76.504237100578464</c:v>
                </c:pt>
                <c:pt idx="28">
                  <c:v>76.504237100326037</c:v>
                </c:pt>
                <c:pt idx="29">
                  <c:v>76.504237100234079</c:v>
                </c:pt>
                <c:pt idx="30">
                  <c:v>76.504237100200541</c:v>
                </c:pt>
                <c:pt idx="31">
                  <c:v>76.504237100188348</c:v>
                </c:pt>
                <c:pt idx="32">
                  <c:v>76.5042371001839</c:v>
                </c:pt>
                <c:pt idx="33">
                  <c:v>76.50423710018228</c:v>
                </c:pt>
                <c:pt idx="34">
                  <c:v>76.504237100181697</c:v>
                </c:pt>
                <c:pt idx="35">
                  <c:v>76.50423710018147</c:v>
                </c:pt>
                <c:pt idx="36">
                  <c:v>76.504237100181399</c:v>
                </c:pt>
                <c:pt idx="37">
                  <c:v>76.504237100181399</c:v>
                </c:pt>
                <c:pt idx="38">
                  <c:v>76.504237100181399</c:v>
                </c:pt>
                <c:pt idx="39">
                  <c:v>76.504237100181399</c:v>
                </c:pt>
                <c:pt idx="40">
                  <c:v>76.504237100181399</c:v>
                </c:pt>
                <c:pt idx="41">
                  <c:v>76.504237100181399</c:v>
                </c:pt>
                <c:pt idx="42">
                  <c:v>76.504237100181399</c:v>
                </c:pt>
                <c:pt idx="43">
                  <c:v>76.504237100181399</c:v>
                </c:pt>
                <c:pt idx="44">
                  <c:v>76.504237100181399</c:v>
                </c:pt>
                <c:pt idx="45">
                  <c:v>76.504237100181399</c:v>
                </c:pt>
                <c:pt idx="46">
                  <c:v>76.504237100181399</c:v>
                </c:pt>
                <c:pt idx="47">
                  <c:v>76.504237100181399</c:v>
                </c:pt>
                <c:pt idx="48">
                  <c:v>76.504237100181399</c:v>
                </c:pt>
                <c:pt idx="49">
                  <c:v>76.504237100181399</c:v>
                </c:pt>
                <c:pt idx="50">
                  <c:v>76.504237100181399</c:v>
                </c:pt>
                <c:pt idx="51">
                  <c:v>76.504237100181399</c:v>
                </c:pt>
                <c:pt idx="52">
                  <c:v>76.504237100181399</c:v>
                </c:pt>
                <c:pt idx="53">
                  <c:v>76.504237100181399</c:v>
                </c:pt>
                <c:pt idx="54">
                  <c:v>76.504237100181399</c:v>
                </c:pt>
                <c:pt idx="55">
                  <c:v>76.504237100181399</c:v>
                </c:pt>
                <c:pt idx="56">
                  <c:v>76.504237100181399</c:v>
                </c:pt>
                <c:pt idx="57">
                  <c:v>76.504237100181399</c:v>
                </c:pt>
                <c:pt idx="58">
                  <c:v>76.504237100181399</c:v>
                </c:pt>
                <c:pt idx="59">
                  <c:v>76.504237100181399</c:v>
                </c:pt>
                <c:pt idx="60">
                  <c:v>76.504237100181399</c:v>
                </c:pt>
                <c:pt idx="61">
                  <c:v>76.504237100181399</c:v>
                </c:pt>
                <c:pt idx="62">
                  <c:v>76.504237100181399</c:v>
                </c:pt>
                <c:pt idx="63">
                  <c:v>76.504237100181399</c:v>
                </c:pt>
                <c:pt idx="64">
                  <c:v>76.504237100181399</c:v>
                </c:pt>
                <c:pt idx="65">
                  <c:v>76.504237100181399</c:v>
                </c:pt>
                <c:pt idx="66">
                  <c:v>76.504237100181399</c:v>
                </c:pt>
                <c:pt idx="67">
                  <c:v>76.504237100181399</c:v>
                </c:pt>
                <c:pt idx="68">
                  <c:v>76.504237100181399</c:v>
                </c:pt>
                <c:pt idx="69">
                  <c:v>76.504237100181399</c:v>
                </c:pt>
                <c:pt idx="70">
                  <c:v>76.504237100181399</c:v>
                </c:pt>
                <c:pt idx="71">
                  <c:v>76.504237100181399</c:v>
                </c:pt>
                <c:pt idx="72">
                  <c:v>76.504237100181399</c:v>
                </c:pt>
                <c:pt idx="73">
                  <c:v>76.504237100181399</c:v>
                </c:pt>
                <c:pt idx="74">
                  <c:v>76.504237100181399</c:v>
                </c:pt>
                <c:pt idx="75">
                  <c:v>76.504237100181399</c:v>
                </c:pt>
                <c:pt idx="76">
                  <c:v>76.504237100181399</c:v>
                </c:pt>
                <c:pt idx="77">
                  <c:v>76.504237100181399</c:v>
                </c:pt>
                <c:pt idx="78">
                  <c:v>76.504237100181399</c:v>
                </c:pt>
                <c:pt idx="79">
                  <c:v>76.504237100181399</c:v>
                </c:pt>
                <c:pt idx="80">
                  <c:v>76.504237100181399</c:v>
                </c:pt>
                <c:pt idx="81">
                  <c:v>76.504237100181399</c:v>
                </c:pt>
                <c:pt idx="82">
                  <c:v>76.504237100181399</c:v>
                </c:pt>
                <c:pt idx="83">
                  <c:v>76.504237100181399</c:v>
                </c:pt>
                <c:pt idx="84">
                  <c:v>76.504237100181399</c:v>
                </c:pt>
                <c:pt idx="85">
                  <c:v>76.504237100181399</c:v>
                </c:pt>
                <c:pt idx="86">
                  <c:v>76.504237100181399</c:v>
                </c:pt>
                <c:pt idx="87">
                  <c:v>76.504237100181399</c:v>
                </c:pt>
                <c:pt idx="88">
                  <c:v>76.504237100181399</c:v>
                </c:pt>
                <c:pt idx="89">
                  <c:v>76.504237100181399</c:v>
                </c:pt>
                <c:pt idx="90">
                  <c:v>76.504237100181399</c:v>
                </c:pt>
                <c:pt idx="91">
                  <c:v>76.504237100181399</c:v>
                </c:pt>
                <c:pt idx="92">
                  <c:v>76.504237100181399</c:v>
                </c:pt>
                <c:pt idx="93">
                  <c:v>76.504237100181399</c:v>
                </c:pt>
                <c:pt idx="94">
                  <c:v>76.504237100181399</c:v>
                </c:pt>
                <c:pt idx="95">
                  <c:v>76.504237100181399</c:v>
                </c:pt>
                <c:pt idx="96">
                  <c:v>76.504237100181399</c:v>
                </c:pt>
                <c:pt idx="97">
                  <c:v>76.504237100181399</c:v>
                </c:pt>
                <c:pt idx="98">
                  <c:v>76.504237100181399</c:v>
                </c:pt>
                <c:pt idx="99">
                  <c:v>76.504237100181399</c:v>
                </c:pt>
                <c:pt idx="100">
                  <c:v>76.504237100181399</c:v>
                </c:pt>
                <c:pt idx="101">
                  <c:v>76.504237100181399</c:v>
                </c:pt>
                <c:pt idx="102">
                  <c:v>76.504237100181399</c:v>
                </c:pt>
                <c:pt idx="103">
                  <c:v>76.504237100181399</c:v>
                </c:pt>
                <c:pt idx="104">
                  <c:v>76.504237100181399</c:v>
                </c:pt>
                <c:pt idx="105">
                  <c:v>76.504237100181399</c:v>
                </c:pt>
                <c:pt idx="106">
                  <c:v>76.504237100181399</c:v>
                </c:pt>
                <c:pt idx="107">
                  <c:v>76.504237100181399</c:v>
                </c:pt>
                <c:pt idx="108">
                  <c:v>76.504237100181399</c:v>
                </c:pt>
                <c:pt idx="109">
                  <c:v>76.504237100181399</c:v>
                </c:pt>
                <c:pt idx="110">
                  <c:v>76.504237100181399</c:v>
                </c:pt>
                <c:pt idx="111">
                  <c:v>76.504237100181399</c:v>
                </c:pt>
                <c:pt idx="112">
                  <c:v>76.504237100181399</c:v>
                </c:pt>
                <c:pt idx="113">
                  <c:v>76.504237100181399</c:v>
                </c:pt>
                <c:pt idx="114">
                  <c:v>76.504237100181399</c:v>
                </c:pt>
                <c:pt idx="115">
                  <c:v>76.504237100181399</c:v>
                </c:pt>
                <c:pt idx="116">
                  <c:v>76.504237100181399</c:v>
                </c:pt>
                <c:pt idx="117">
                  <c:v>76.504237100181399</c:v>
                </c:pt>
                <c:pt idx="118">
                  <c:v>76.504237100181399</c:v>
                </c:pt>
                <c:pt idx="119">
                  <c:v>76.504237100181399</c:v>
                </c:pt>
                <c:pt idx="120">
                  <c:v>76.504237100181399</c:v>
                </c:pt>
                <c:pt idx="121">
                  <c:v>76.504237100181399</c:v>
                </c:pt>
                <c:pt idx="122">
                  <c:v>76.504237100181399</c:v>
                </c:pt>
                <c:pt idx="123">
                  <c:v>76.504237100181399</c:v>
                </c:pt>
                <c:pt idx="124">
                  <c:v>76.504237100181399</c:v>
                </c:pt>
                <c:pt idx="125">
                  <c:v>76.504237100181399</c:v>
                </c:pt>
                <c:pt idx="126">
                  <c:v>76.504237100181399</c:v>
                </c:pt>
                <c:pt idx="127">
                  <c:v>76.504237100181399</c:v>
                </c:pt>
                <c:pt idx="128">
                  <c:v>76.504237100181399</c:v>
                </c:pt>
                <c:pt idx="129">
                  <c:v>76.504237100181399</c:v>
                </c:pt>
                <c:pt idx="130">
                  <c:v>76.504237100181399</c:v>
                </c:pt>
                <c:pt idx="131">
                  <c:v>76.504237100181399</c:v>
                </c:pt>
                <c:pt idx="132">
                  <c:v>76.504237100181399</c:v>
                </c:pt>
                <c:pt idx="133">
                  <c:v>76.504237100181399</c:v>
                </c:pt>
                <c:pt idx="134">
                  <c:v>76.504237100181399</c:v>
                </c:pt>
                <c:pt idx="135">
                  <c:v>76.504237100181399</c:v>
                </c:pt>
                <c:pt idx="136">
                  <c:v>76.504237100181399</c:v>
                </c:pt>
                <c:pt idx="137">
                  <c:v>76.504237100181399</c:v>
                </c:pt>
                <c:pt idx="138">
                  <c:v>76.504237100181399</c:v>
                </c:pt>
                <c:pt idx="139">
                  <c:v>76.504237100181399</c:v>
                </c:pt>
                <c:pt idx="140">
                  <c:v>76.504237100181399</c:v>
                </c:pt>
                <c:pt idx="141">
                  <c:v>76.504237100181399</c:v>
                </c:pt>
                <c:pt idx="142">
                  <c:v>76.504237100181399</c:v>
                </c:pt>
                <c:pt idx="143">
                  <c:v>76.504237100181399</c:v>
                </c:pt>
                <c:pt idx="144">
                  <c:v>76.504237100181399</c:v>
                </c:pt>
                <c:pt idx="145">
                  <c:v>76.504237100181399</c:v>
                </c:pt>
                <c:pt idx="146">
                  <c:v>76.504237100181399</c:v>
                </c:pt>
                <c:pt idx="147">
                  <c:v>76.504237100181399</c:v>
                </c:pt>
                <c:pt idx="148">
                  <c:v>76.504237100181399</c:v>
                </c:pt>
                <c:pt idx="149">
                  <c:v>76.504237100181399</c:v>
                </c:pt>
                <c:pt idx="150">
                  <c:v>76.504237100181399</c:v>
                </c:pt>
                <c:pt idx="151">
                  <c:v>76.504237100181399</c:v>
                </c:pt>
                <c:pt idx="152">
                  <c:v>76.504237100181399</c:v>
                </c:pt>
                <c:pt idx="153">
                  <c:v>76.504237100181399</c:v>
                </c:pt>
                <c:pt idx="154">
                  <c:v>76.504237100181399</c:v>
                </c:pt>
                <c:pt idx="155">
                  <c:v>76.504237100181399</c:v>
                </c:pt>
                <c:pt idx="156">
                  <c:v>76.504237100181399</c:v>
                </c:pt>
                <c:pt idx="157">
                  <c:v>76.504237100181399</c:v>
                </c:pt>
                <c:pt idx="158">
                  <c:v>76.504237100181399</c:v>
                </c:pt>
                <c:pt idx="159">
                  <c:v>76.504237100181399</c:v>
                </c:pt>
                <c:pt idx="160">
                  <c:v>76.504237100181399</c:v>
                </c:pt>
                <c:pt idx="161">
                  <c:v>76.504237100181399</c:v>
                </c:pt>
                <c:pt idx="162">
                  <c:v>76.504237100181399</c:v>
                </c:pt>
                <c:pt idx="163">
                  <c:v>76.504237100181399</c:v>
                </c:pt>
                <c:pt idx="164">
                  <c:v>76.504237100181399</c:v>
                </c:pt>
                <c:pt idx="165">
                  <c:v>76.504237100181399</c:v>
                </c:pt>
                <c:pt idx="166">
                  <c:v>76.504237100181399</c:v>
                </c:pt>
                <c:pt idx="167">
                  <c:v>76.504237100181399</c:v>
                </c:pt>
                <c:pt idx="168">
                  <c:v>76.504237100181399</c:v>
                </c:pt>
                <c:pt idx="169">
                  <c:v>76.504237100181399</c:v>
                </c:pt>
                <c:pt idx="170">
                  <c:v>76.504237100181399</c:v>
                </c:pt>
                <c:pt idx="171">
                  <c:v>76.504237100181399</c:v>
                </c:pt>
                <c:pt idx="172">
                  <c:v>76.504237100181399</c:v>
                </c:pt>
                <c:pt idx="173">
                  <c:v>76.504237100181399</c:v>
                </c:pt>
                <c:pt idx="174">
                  <c:v>76.504237100181399</c:v>
                </c:pt>
                <c:pt idx="175">
                  <c:v>76.504237100181399</c:v>
                </c:pt>
                <c:pt idx="176">
                  <c:v>76.504237100181399</c:v>
                </c:pt>
                <c:pt idx="177">
                  <c:v>76.504237100181399</c:v>
                </c:pt>
                <c:pt idx="178">
                  <c:v>76.504237100181399</c:v>
                </c:pt>
                <c:pt idx="179">
                  <c:v>76.504237100181399</c:v>
                </c:pt>
                <c:pt idx="180">
                  <c:v>76.504237100181399</c:v>
                </c:pt>
              </c:numCache>
            </c:numRef>
          </c:yVal>
          <c:smooth val="1"/>
          <c:extLst>
            <c:ext xmlns:c16="http://schemas.microsoft.com/office/drawing/2014/chart" uri="{C3380CC4-5D6E-409C-BE32-E72D297353CC}">
              <c16:uniqueId val="{00000001-9383-425B-8F6B-20CBFC76CF81}"/>
            </c:ext>
          </c:extLst>
        </c:ser>
        <c:dLbls>
          <c:showLegendKey val="0"/>
          <c:showVal val="0"/>
          <c:showCatName val="0"/>
          <c:showSerName val="0"/>
          <c:showPercent val="0"/>
          <c:showBubbleSize val="0"/>
        </c:dLbls>
        <c:axId val="1466857279"/>
        <c:axId val="1466848159"/>
      </c:scatterChart>
      <c:scatterChart>
        <c:scatterStyle val="smoothMarker"/>
        <c:varyColors val="0"/>
        <c:ser>
          <c:idx val="1"/>
          <c:order val="1"/>
          <c:tx>
            <c:strRef>
              <c:f>'VehicleSimulation - LEV6000 (2)'!$D$1</c:f>
              <c:strCache>
                <c:ptCount val="1"/>
                <c:pt idx="0">
                  <c:v>Motor Speed (RPM)</c:v>
                </c:pt>
              </c:strCache>
            </c:strRef>
          </c:tx>
          <c:spPr>
            <a:ln w="19050" cap="rnd">
              <a:solidFill>
                <a:schemeClr val="accent2"/>
              </a:solidFill>
              <a:round/>
            </a:ln>
            <a:effectLst/>
          </c:spPr>
          <c:marker>
            <c:symbol val="none"/>
          </c:marker>
          <c:xVal>
            <c:numRef>
              <c:f>'VehicleSimulation - LEV6000 (2)'!$A$2:$A$182</c:f>
              <c:numCache>
                <c:formatCode>General</c:formatCode>
                <c:ptCount val="18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numCache>
            </c:numRef>
          </c:xVal>
          <c:yVal>
            <c:numRef>
              <c:f>'VehicleSimulation - LEV6000 (2)'!$D$2:$D$182</c:f>
              <c:numCache>
                <c:formatCode>General</c:formatCode>
                <c:ptCount val="181"/>
                <c:pt idx="0">
                  <c:v>0</c:v>
                </c:pt>
                <c:pt idx="1">
                  <c:v>645.85682226019833</c:v>
                </c:pt>
                <c:pt idx="2">
                  <c:v>1288.0843599171844</c:v>
                </c:pt>
                <c:pt idx="3">
                  <c:v>1919.5055057990021</c:v>
                </c:pt>
                <c:pt idx="4">
                  <c:v>2533.3050054529158</c:v>
                </c:pt>
                <c:pt idx="5">
                  <c:v>2678.6605807875012</c:v>
                </c:pt>
                <c:pt idx="6">
                  <c:v>2722.4587085053531</c:v>
                </c:pt>
                <c:pt idx="7">
                  <c:v>2737.5718880420022</c:v>
                </c:pt>
                <c:pt idx="8">
                  <c:v>2742.9768839219169</c:v>
                </c:pt>
                <c:pt idx="9">
                  <c:v>2744.9329831891619</c:v>
                </c:pt>
                <c:pt idx="10">
                  <c:v>2745.6438786480844</c:v>
                </c:pt>
                <c:pt idx="11">
                  <c:v>2745.9026259681132</c:v>
                </c:pt>
                <c:pt idx="12">
                  <c:v>2745.9968547786621</c:v>
                </c:pt>
                <c:pt idx="13">
                  <c:v>2746.0311772088362</c:v>
                </c:pt>
                <c:pt idx="14">
                  <c:v>2746.0436799095414</c:v>
                </c:pt>
                <c:pt idx="15">
                  <c:v>2746.0482344137376</c:v>
                </c:pt>
                <c:pt idx="16">
                  <c:v>2746.0498935519095</c:v>
                </c:pt>
                <c:pt idx="17">
                  <c:v>2746.0504979533971</c:v>
                </c:pt>
                <c:pt idx="18">
                  <c:v>2746.0507181289267</c:v>
                </c:pt>
                <c:pt idx="19">
                  <c:v>2746.0507983360203</c:v>
                </c:pt>
                <c:pt idx="20">
                  <c:v>2746.0508275544298</c:v>
                </c:pt>
                <c:pt idx="21">
                  <c:v>2746.0508381983209</c:v>
                </c:pt>
                <c:pt idx="22">
                  <c:v>2746.0508420757528</c:v>
                </c:pt>
                <c:pt idx="23">
                  <c:v>2746.0508434882522</c:v>
                </c:pt>
                <c:pt idx="24">
                  <c:v>2746.050844002807</c:v>
                </c:pt>
                <c:pt idx="25">
                  <c:v>2746.050844190253</c:v>
                </c:pt>
                <c:pt idx="26">
                  <c:v>2746.0508442585369</c:v>
                </c:pt>
                <c:pt idx="27">
                  <c:v>2746.0508442834121</c:v>
                </c:pt>
                <c:pt idx="28">
                  <c:v>2746.0508442924729</c:v>
                </c:pt>
                <c:pt idx="29">
                  <c:v>2746.0508442957739</c:v>
                </c:pt>
                <c:pt idx="30">
                  <c:v>2746.0508442969776</c:v>
                </c:pt>
                <c:pt idx="31">
                  <c:v>2746.0508442974156</c:v>
                </c:pt>
                <c:pt idx="32">
                  <c:v>2746.0508442975752</c:v>
                </c:pt>
                <c:pt idx="33">
                  <c:v>2746.0508442976329</c:v>
                </c:pt>
                <c:pt idx="34">
                  <c:v>2746.0508442976538</c:v>
                </c:pt>
                <c:pt idx="35">
                  <c:v>2746.050844297662</c:v>
                </c:pt>
                <c:pt idx="36">
                  <c:v>2746.0508442976648</c:v>
                </c:pt>
                <c:pt idx="37">
                  <c:v>2746.0508442976648</c:v>
                </c:pt>
                <c:pt idx="38">
                  <c:v>2746.0508442976648</c:v>
                </c:pt>
                <c:pt idx="39">
                  <c:v>2746.0508442976648</c:v>
                </c:pt>
                <c:pt idx="40">
                  <c:v>2746.0508442976648</c:v>
                </c:pt>
                <c:pt idx="41">
                  <c:v>2746.0508442976648</c:v>
                </c:pt>
                <c:pt idx="42">
                  <c:v>2746.0508442976648</c:v>
                </c:pt>
                <c:pt idx="43">
                  <c:v>2746.0508442976648</c:v>
                </c:pt>
                <c:pt idx="44">
                  <c:v>2746.0508442976648</c:v>
                </c:pt>
                <c:pt idx="45">
                  <c:v>2746.0508442976648</c:v>
                </c:pt>
                <c:pt idx="46">
                  <c:v>2746.0508442976648</c:v>
                </c:pt>
                <c:pt idx="47">
                  <c:v>2746.0508442976648</c:v>
                </c:pt>
                <c:pt idx="48">
                  <c:v>2746.0508442976648</c:v>
                </c:pt>
                <c:pt idx="49">
                  <c:v>2746.0508442976648</c:v>
                </c:pt>
                <c:pt idx="50">
                  <c:v>2746.0508442976648</c:v>
                </c:pt>
                <c:pt idx="51">
                  <c:v>2746.0508442976648</c:v>
                </c:pt>
                <c:pt idx="52">
                  <c:v>2746.0508442976648</c:v>
                </c:pt>
                <c:pt idx="53">
                  <c:v>2746.0508442976648</c:v>
                </c:pt>
                <c:pt idx="54">
                  <c:v>2746.0508442976648</c:v>
                </c:pt>
                <c:pt idx="55">
                  <c:v>2746.0508442976648</c:v>
                </c:pt>
                <c:pt idx="56">
                  <c:v>2746.0508442976648</c:v>
                </c:pt>
                <c:pt idx="57">
                  <c:v>2746.0508442976648</c:v>
                </c:pt>
                <c:pt idx="58">
                  <c:v>2746.0508442976648</c:v>
                </c:pt>
                <c:pt idx="59">
                  <c:v>2746.0508442976648</c:v>
                </c:pt>
                <c:pt idx="60">
                  <c:v>2746.0508442976648</c:v>
                </c:pt>
                <c:pt idx="61">
                  <c:v>2746.0508442976648</c:v>
                </c:pt>
                <c:pt idx="62">
                  <c:v>2746.0508442976648</c:v>
                </c:pt>
                <c:pt idx="63">
                  <c:v>2746.0508442976648</c:v>
                </c:pt>
                <c:pt idx="64">
                  <c:v>2746.0508442976648</c:v>
                </c:pt>
                <c:pt idx="65">
                  <c:v>2746.0508442976648</c:v>
                </c:pt>
                <c:pt idx="66">
                  <c:v>2746.0508442976648</c:v>
                </c:pt>
                <c:pt idx="67">
                  <c:v>2746.0508442976648</c:v>
                </c:pt>
                <c:pt idx="68">
                  <c:v>2746.0508442976648</c:v>
                </c:pt>
                <c:pt idx="69">
                  <c:v>2746.0508442976648</c:v>
                </c:pt>
                <c:pt idx="70">
                  <c:v>2746.0508442976648</c:v>
                </c:pt>
                <c:pt idx="71">
                  <c:v>2746.0508442976648</c:v>
                </c:pt>
                <c:pt idx="72">
                  <c:v>2746.0508442976648</c:v>
                </c:pt>
                <c:pt idx="73">
                  <c:v>2746.0508442976648</c:v>
                </c:pt>
                <c:pt idx="74">
                  <c:v>2746.0508442976648</c:v>
                </c:pt>
                <c:pt idx="75">
                  <c:v>2746.0508442976648</c:v>
                </c:pt>
                <c:pt idx="76">
                  <c:v>2746.0508442976648</c:v>
                </c:pt>
                <c:pt idx="77">
                  <c:v>2746.0508442976648</c:v>
                </c:pt>
                <c:pt idx="78">
                  <c:v>2746.0508442976648</c:v>
                </c:pt>
                <c:pt idx="79">
                  <c:v>2746.0508442976648</c:v>
                </c:pt>
                <c:pt idx="80">
                  <c:v>2746.0508442976648</c:v>
                </c:pt>
                <c:pt idx="81">
                  <c:v>2746.0508442976648</c:v>
                </c:pt>
                <c:pt idx="82">
                  <c:v>2746.0508442976648</c:v>
                </c:pt>
                <c:pt idx="83">
                  <c:v>2746.0508442976648</c:v>
                </c:pt>
                <c:pt idx="84">
                  <c:v>2746.0508442976648</c:v>
                </c:pt>
                <c:pt idx="85">
                  <c:v>2746.0508442976648</c:v>
                </c:pt>
                <c:pt idx="86">
                  <c:v>2746.0508442976648</c:v>
                </c:pt>
                <c:pt idx="87">
                  <c:v>2746.0508442976648</c:v>
                </c:pt>
                <c:pt idx="88">
                  <c:v>2746.0508442976648</c:v>
                </c:pt>
                <c:pt idx="89">
                  <c:v>2746.0508442976648</c:v>
                </c:pt>
                <c:pt idx="90">
                  <c:v>2746.0508442976648</c:v>
                </c:pt>
                <c:pt idx="91">
                  <c:v>2746.0508442976648</c:v>
                </c:pt>
                <c:pt idx="92">
                  <c:v>2746.0508442976648</c:v>
                </c:pt>
                <c:pt idx="93">
                  <c:v>2746.0508442976648</c:v>
                </c:pt>
                <c:pt idx="94">
                  <c:v>2746.0508442976648</c:v>
                </c:pt>
                <c:pt idx="95">
                  <c:v>2746.0508442976648</c:v>
                </c:pt>
                <c:pt idx="96">
                  <c:v>2746.0508442976648</c:v>
                </c:pt>
                <c:pt idx="97">
                  <c:v>2746.0508442976648</c:v>
                </c:pt>
                <c:pt idx="98">
                  <c:v>2746.0508442976648</c:v>
                </c:pt>
                <c:pt idx="99">
                  <c:v>2746.0508442976648</c:v>
                </c:pt>
                <c:pt idx="100">
                  <c:v>2746.0508442976648</c:v>
                </c:pt>
                <c:pt idx="101">
                  <c:v>2746.0508442976648</c:v>
                </c:pt>
                <c:pt idx="102">
                  <c:v>2746.0508442976648</c:v>
                </c:pt>
                <c:pt idx="103">
                  <c:v>2746.0508442976648</c:v>
                </c:pt>
                <c:pt idx="104">
                  <c:v>2746.0508442976648</c:v>
                </c:pt>
                <c:pt idx="105">
                  <c:v>2746.0508442976648</c:v>
                </c:pt>
                <c:pt idx="106">
                  <c:v>2746.0508442976648</c:v>
                </c:pt>
                <c:pt idx="107">
                  <c:v>2746.0508442976648</c:v>
                </c:pt>
                <c:pt idx="108">
                  <c:v>2746.0508442976648</c:v>
                </c:pt>
                <c:pt idx="109">
                  <c:v>2746.0508442976648</c:v>
                </c:pt>
                <c:pt idx="110">
                  <c:v>2746.0508442976648</c:v>
                </c:pt>
                <c:pt idx="111">
                  <c:v>2746.0508442976648</c:v>
                </c:pt>
                <c:pt idx="112">
                  <c:v>2746.0508442976648</c:v>
                </c:pt>
                <c:pt idx="113">
                  <c:v>2746.0508442976648</c:v>
                </c:pt>
                <c:pt idx="114">
                  <c:v>2746.0508442976648</c:v>
                </c:pt>
                <c:pt idx="115">
                  <c:v>2746.0508442976648</c:v>
                </c:pt>
                <c:pt idx="116">
                  <c:v>2746.0508442976648</c:v>
                </c:pt>
                <c:pt idx="117">
                  <c:v>2746.0508442976648</c:v>
                </c:pt>
                <c:pt idx="118">
                  <c:v>2746.0508442976648</c:v>
                </c:pt>
                <c:pt idx="119">
                  <c:v>2746.0508442976648</c:v>
                </c:pt>
                <c:pt idx="120">
                  <c:v>2746.0508442976648</c:v>
                </c:pt>
                <c:pt idx="121">
                  <c:v>2746.0508442976648</c:v>
                </c:pt>
                <c:pt idx="122">
                  <c:v>2746.0508442976648</c:v>
                </c:pt>
                <c:pt idx="123">
                  <c:v>2746.0508442976648</c:v>
                </c:pt>
                <c:pt idx="124">
                  <c:v>2746.0508442976648</c:v>
                </c:pt>
                <c:pt idx="125">
                  <c:v>2746.0508442976648</c:v>
                </c:pt>
                <c:pt idx="126">
                  <c:v>2746.0508442976648</c:v>
                </c:pt>
                <c:pt idx="127">
                  <c:v>2746.0508442976648</c:v>
                </c:pt>
                <c:pt idx="128">
                  <c:v>2746.0508442976648</c:v>
                </c:pt>
                <c:pt idx="129">
                  <c:v>2746.0508442976648</c:v>
                </c:pt>
                <c:pt idx="130">
                  <c:v>2746.0508442976648</c:v>
                </c:pt>
                <c:pt idx="131">
                  <c:v>2746.0508442976648</c:v>
                </c:pt>
                <c:pt idx="132">
                  <c:v>2746.0508442976648</c:v>
                </c:pt>
                <c:pt idx="133">
                  <c:v>2746.0508442976648</c:v>
                </c:pt>
                <c:pt idx="134">
                  <c:v>2746.0508442976648</c:v>
                </c:pt>
                <c:pt idx="135">
                  <c:v>2746.0508442976648</c:v>
                </c:pt>
                <c:pt idx="136">
                  <c:v>2746.0508442976648</c:v>
                </c:pt>
                <c:pt idx="137">
                  <c:v>2746.0508442976648</c:v>
                </c:pt>
                <c:pt idx="138">
                  <c:v>2746.0508442976648</c:v>
                </c:pt>
                <c:pt idx="139">
                  <c:v>2746.0508442976648</c:v>
                </c:pt>
                <c:pt idx="140">
                  <c:v>2746.0508442976648</c:v>
                </c:pt>
                <c:pt idx="141">
                  <c:v>2746.0508442976648</c:v>
                </c:pt>
                <c:pt idx="142">
                  <c:v>2746.0508442976648</c:v>
                </c:pt>
                <c:pt idx="143">
                  <c:v>2746.0508442976648</c:v>
                </c:pt>
                <c:pt idx="144">
                  <c:v>2746.0508442976648</c:v>
                </c:pt>
                <c:pt idx="145">
                  <c:v>2746.0508442976648</c:v>
                </c:pt>
                <c:pt idx="146">
                  <c:v>2746.0508442976648</c:v>
                </c:pt>
                <c:pt idx="147">
                  <c:v>2746.0508442976648</c:v>
                </c:pt>
                <c:pt idx="148">
                  <c:v>2746.0508442976648</c:v>
                </c:pt>
                <c:pt idx="149">
                  <c:v>2746.0508442976648</c:v>
                </c:pt>
                <c:pt idx="150">
                  <c:v>2746.0508442976648</c:v>
                </c:pt>
                <c:pt idx="151">
                  <c:v>2746.0508442976648</c:v>
                </c:pt>
                <c:pt idx="152">
                  <c:v>2746.0508442976648</c:v>
                </c:pt>
                <c:pt idx="153">
                  <c:v>2746.0508442976648</c:v>
                </c:pt>
                <c:pt idx="154">
                  <c:v>2746.0508442976648</c:v>
                </c:pt>
                <c:pt idx="155">
                  <c:v>2746.0508442976648</c:v>
                </c:pt>
                <c:pt idx="156">
                  <c:v>2746.0508442976648</c:v>
                </c:pt>
                <c:pt idx="157">
                  <c:v>2746.0508442976648</c:v>
                </c:pt>
                <c:pt idx="158">
                  <c:v>2746.0508442976648</c:v>
                </c:pt>
                <c:pt idx="159">
                  <c:v>2746.0508442976648</c:v>
                </c:pt>
                <c:pt idx="160">
                  <c:v>2746.0508442976648</c:v>
                </c:pt>
                <c:pt idx="161">
                  <c:v>2746.0508442976648</c:v>
                </c:pt>
                <c:pt idx="162">
                  <c:v>2746.0508442976648</c:v>
                </c:pt>
                <c:pt idx="163">
                  <c:v>2746.0508442976648</c:v>
                </c:pt>
                <c:pt idx="164">
                  <c:v>2746.0508442976648</c:v>
                </c:pt>
                <c:pt idx="165">
                  <c:v>2746.0508442976648</c:v>
                </c:pt>
                <c:pt idx="166">
                  <c:v>2746.0508442976648</c:v>
                </c:pt>
                <c:pt idx="167">
                  <c:v>2746.0508442976648</c:v>
                </c:pt>
                <c:pt idx="168">
                  <c:v>2746.0508442976648</c:v>
                </c:pt>
                <c:pt idx="169">
                  <c:v>2746.0508442976648</c:v>
                </c:pt>
                <c:pt idx="170">
                  <c:v>2746.0508442976648</c:v>
                </c:pt>
                <c:pt idx="171">
                  <c:v>2746.0508442976648</c:v>
                </c:pt>
                <c:pt idx="172">
                  <c:v>2746.0508442976648</c:v>
                </c:pt>
                <c:pt idx="173">
                  <c:v>2746.0508442976648</c:v>
                </c:pt>
                <c:pt idx="174">
                  <c:v>2746.0508442976648</c:v>
                </c:pt>
                <c:pt idx="175">
                  <c:v>2746.0508442976648</c:v>
                </c:pt>
                <c:pt idx="176">
                  <c:v>2746.0508442976648</c:v>
                </c:pt>
                <c:pt idx="177">
                  <c:v>2746.0508442976648</c:v>
                </c:pt>
                <c:pt idx="178">
                  <c:v>2746.0508442976648</c:v>
                </c:pt>
                <c:pt idx="179">
                  <c:v>2746.0508442976648</c:v>
                </c:pt>
                <c:pt idx="180">
                  <c:v>2746.0508442976648</c:v>
                </c:pt>
              </c:numCache>
            </c:numRef>
          </c:yVal>
          <c:smooth val="1"/>
          <c:extLst>
            <c:ext xmlns:c16="http://schemas.microsoft.com/office/drawing/2014/chart" uri="{C3380CC4-5D6E-409C-BE32-E72D297353CC}">
              <c16:uniqueId val="{00000002-9383-425B-8F6B-20CBFC76CF81}"/>
            </c:ext>
          </c:extLst>
        </c:ser>
        <c:dLbls>
          <c:showLegendKey val="0"/>
          <c:showVal val="0"/>
          <c:showCatName val="0"/>
          <c:showSerName val="0"/>
          <c:showPercent val="0"/>
          <c:showBubbleSize val="0"/>
        </c:dLbls>
        <c:axId val="1466838559"/>
        <c:axId val="1466834719"/>
      </c:scatterChart>
      <c:valAx>
        <c:axId val="1466857279"/>
        <c:scaling>
          <c:orientation val="minMax"/>
          <c:max val="4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Time (Sec)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8159"/>
        <c:crosses val="autoZero"/>
        <c:crossBetween val="midCat"/>
      </c:valAx>
      <c:valAx>
        <c:axId val="1466848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Vehicle Speed (Kmph)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57279"/>
        <c:crosses val="autoZero"/>
        <c:crossBetween val="midCat"/>
      </c:valAx>
      <c:valAx>
        <c:axId val="14668347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Motor</a:t>
                </a:r>
                <a:r>
                  <a:rPr lang="en-IN" baseline="0"/>
                  <a:t>  Speed(RPM)</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38559"/>
        <c:crosses val="max"/>
        <c:crossBetween val="midCat"/>
      </c:valAx>
      <c:valAx>
        <c:axId val="1466838559"/>
        <c:scaling>
          <c:orientation val="minMax"/>
        </c:scaling>
        <c:delete val="1"/>
        <c:axPos val="b"/>
        <c:numFmt formatCode="General" sourceLinked="1"/>
        <c:majorTickMark val="out"/>
        <c:minorTickMark val="none"/>
        <c:tickLblPos val="nextTo"/>
        <c:crossAx val="14668347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25</xdr:col>
      <xdr:colOff>228600</xdr:colOff>
      <xdr:row>16</xdr:row>
      <xdr:rowOff>53340</xdr:rowOff>
    </xdr:from>
    <xdr:to>
      <xdr:col>27</xdr:col>
      <xdr:colOff>449400</xdr:colOff>
      <xdr:row>23</xdr:row>
      <xdr:rowOff>175080</xdr:rowOff>
    </xdr:to>
    <xdr:sp macro="" textlink="">
      <xdr:nvSpPr>
        <xdr:cNvPr id="8" name="Rectangle 7">
          <a:extLst>
            <a:ext uri="{FF2B5EF4-FFF2-40B4-BE49-F238E27FC236}">
              <a16:creationId xmlns:a16="http://schemas.microsoft.com/office/drawing/2014/main" id="{2AB30054-F12F-007A-C524-ABA9F307B584}"/>
            </a:ext>
          </a:extLst>
        </xdr:cNvPr>
        <xdr:cNvSpPr/>
      </xdr:nvSpPr>
      <xdr:spPr>
        <a:xfrm>
          <a:off x="22402800" y="4213860"/>
          <a:ext cx="1440000" cy="144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251460</xdr:colOff>
      <xdr:row>16</xdr:row>
      <xdr:rowOff>76200</xdr:rowOff>
    </xdr:from>
    <xdr:to>
      <xdr:col>25</xdr:col>
      <xdr:colOff>441960</xdr:colOff>
      <xdr:row>19</xdr:row>
      <xdr:rowOff>30480</xdr:rowOff>
    </xdr:to>
    <xdr:sp macro="" textlink="">
      <xdr:nvSpPr>
        <xdr:cNvPr id="2" name="Rectangle: Rounded Corners 1">
          <a:extLst>
            <a:ext uri="{FF2B5EF4-FFF2-40B4-BE49-F238E27FC236}">
              <a16:creationId xmlns:a16="http://schemas.microsoft.com/office/drawing/2014/main" id="{042CB0FB-7983-3A0B-46CF-84E0E5AF63AC}"/>
            </a:ext>
          </a:extLst>
        </xdr:cNvPr>
        <xdr:cNvSpPr/>
      </xdr:nvSpPr>
      <xdr:spPr>
        <a:xfrm>
          <a:off x="22425660" y="4236720"/>
          <a:ext cx="190500" cy="51054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251460</xdr:colOff>
      <xdr:row>16</xdr:row>
      <xdr:rowOff>60960</xdr:rowOff>
    </xdr:from>
    <xdr:to>
      <xdr:col>27</xdr:col>
      <xdr:colOff>441960</xdr:colOff>
      <xdr:row>19</xdr:row>
      <xdr:rowOff>15240</xdr:rowOff>
    </xdr:to>
    <xdr:sp macro="" textlink="">
      <xdr:nvSpPr>
        <xdr:cNvPr id="3" name="Rectangle: Rounded Corners 2">
          <a:extLst>
            <a:ext uri="{FF2B5EF4-FFF2-40B4-BE49-F238E27FC236}">
              <a16:creationId xmlns:a16="http://schemas.microsoft.com/office/drawing/2014/main" id="{ABBF84FF-D791-431E-8C17-6871506EB61D}"/>
            </a:ext>
          </a:extLst>
        </xdr:cNvPr>
        <xdr:cNvSpPr/>
      </xdr:nvSpPr>
      <xdr:spPr>
        <a:xfrm>
          <a:off x="23644860" y="4221480"/>
          <a:ext cx="190500" cy="51054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243840</xdr:colOff>
      <xdr:row>21</xdr:row>
      <xdr:rowOff>30480</xdr:rowOff>
    </xdr:from>
    <xdr:to>
      <xdr:col>25</xdr:col>
      <xdr:colOff>434340</xdr:colOff>
      <xdr:row>23</xdr:row>
      <xdr:rowOff>160020</xdr:rowOff>
    </xdr:to>
    <xdr:sp macro="" textlink="">
      <xdr:nvSpPr>
        <xdr:cNvPr id="4" name="Rectangle: Rounded Corners 3">
          <a:extLst>
            <a:ext uri="{FF2B5EF4-FFF2-40B4-BE49-F238E27FC236}">
              <a16:creationId xmlns:a16="http://schemas.microsoft.com/office/drawing/2014/main" id="{1CE8C048-B0DB-4413-8726-27958D6D19BD}"/>
            </a:ext>
          </a:extLst>
        </xdr:cNvPr>
        <xdr:cNvSpPr/>
      </xdr:nvSpPr>
      <xdr:spPr>
        <a:xfrm>
          <a:off x="22418040" y="5128260"/>
          <a:ext cx="190500" cy="51054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251460</xdr:colOff>
      <xdr:row>21</xdr:row>
      <xdr:rowOff>38100</xdr:rowOff>
    </xdr:from>
    <xdr:to>
      <xdr:col>27</xdr:col>
      <xdr:colOff>441960</xdr:colOff>
      <xdr:row>23</xdr:row>
      <xdr:rowOff>167640</xdr:rowOff>
    </xdr:to>
    <xdr:sp macro="" textlink="">
      <xdr:nvSpPr>
        <xdr:cNvPr id="5" name="Rectangle: Rounded Corners 4">
          <a:extLst>
            <a:ext uri="{FF2B5EF4-FFF2-40B4-BE49-F238E27FC236}">
              <a16:creationId xmlns:a16="http://schemas.microsoft.com/office/drawing/2014/main" id="{B0C681A1-1F57-472E-9EE1-6B00A86AB8EC}"/>
            </a:ext>
          </a:extLst>
        </xdr:cNvPr>
        <xdr:cNvSpPr/>
      </xdr:nvSpPr>
      <xdr:spPr>
        <a:xfrm>
          <a:off x="23644860" y="5135880"/>
          <a:ext cx="190500" cy="51054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335280</xdr:colOff>
      <xdr:row>13</xdr:row>
      <xdr:rowOff>152400</xdr:rowOff>
    </xdr:from>
    <xdr:to>
      <xdr:col>26</xdr:col>
      <xdr:colOff>342900</xdr:colOff>
      <xdr:row>26</xdr:row>
      <xdr:rowOff>68580</xdr:rowOff>
    </xdr:to>
    <xdr:cxnSp macro="">
      <xdr:nvCxnSpPr>
        <xdr:cNvPr id="7" name="Straight Arrow Connector 6">
          <a:extLst>
            <a:ext uri="{FF2B5EF4-FFF2-40B4-BE49-F238E27FC236}">
              <a16:creationId xmlns:a16="http://schemas.microsoft.com/office/drawing/2014/main" id="{9D99135A-9E64-2969-9AEA-D56266F6F94E}"/>
            </a:ext>
          </a:extLst>
        </xdr:cNvPr>
        <xdr:cNvCxnSpPr/>
      </xdr:nvCxnSpPr>
      <xdr:spPr>
        <a:xfrm flipH="1">
          <a:off x="23119080" y="3741420"/>
          <a:ext cx="7620" cy="2377440"/>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384810</xdr:colOff>
      <xdr:row>20</xdr:row>
      <xdr:rowOff>19050</xdr:rowOff>
    </xdr:from>
    <xdr:to>
      <xdr:col>28</xdr:col>
      <xdr:colOff>323850</xdr:colOff>
      <xdr:row>20</xdr:row>
      <xdr:rowOff>26670</xdr:rowOff>
    </xdr:to>
    <xdr:cxnSp macro="">
      <xdr:nvCxnSpPr>
        <xdr:cNvPr id="9" name="Straight Arrow Connector 8">
          <a:extLst>
            <a:ext uri="{FF2B5EF4-FFF2-40B4-BE49-F238E27FC236}">
              <a16:creationId xmlns:a16="http://schemas.microsoft.com/office/drawing/2014/main" id="{7CF4DE1D-FBD4-47EA-8322-8322FF5CF510}"/>
            </a:ext>
          </a:extLst>
        </xdr:cNvPr>
        <xdr:cNvCxnSpPr/>
      </xdr:nvCxnSpPr>
      <xdr:spPr>
        <a:xfrm rot="5400000" flipH="1">
          <a:off x="23134320" y="3741420"/>
          <a:ext cx="7620" cy="2377440"/>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190500</xdr:colOff>
      <xdr:row>16</xdr:row>
      <xdr:rowOff>7620</xdr:rowOff>
    </xdr:from>
    <xdr:to>
      <xdr:col>27</xdr:col>
      <xdr:colOff>510540</xdr:colOff>
      <xdr:row>24</xdr:row>
      <xdr:rowOff>39660</xdr:rowOff>
    </xdr:to>
    <xdr:sp macro="" textlink="">
      <xdr:nvSpPr>
        <xdr:cNvPr id="10" name="Oval 9">
          <a:extLst>
            <a:ext uri="{FF2B5EF4-FFF2-40B4-BE49-F238E27FC236}">
              <a16:creationId xmlns:a16="http://schemas.microsoft.com/office/drawing/2014/main" id="{13788773-B041-9609-59CD-FB4A1795D35E}"/>
            </a:ext>
          </a:extLst>
        </xdr:cNvPr>
        <xdr:cNvSpPr/>
      </xdr:nvSpPr>
      <xdr:spPr>
        <a:xfrm>
          <a:off x="22364700" y="4168140"/>
          <a:ext cx="1539240" cy="154080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323850</xdr:colOff>
      <xdr:row>24</xdr:row>
      <xdr:rowOff>95250</xdr:rowOff>
    </xdr:from>
    <xdr:to>
      <xdr:col>27</xdr:col>
      <xdr:colOff>365760</xdr:colOff>
      <xdr:row>24</xdr:row>
      <xdr:rowOff>95250</xdr:rowOff>
    </xdr:to>
    <xdr:cxnSp macro="">
      <xdr:nvCxnSpPr>
        <xdr:cNvPr id="13" name="Straight Arrow Connector 12">
          <a:extLst>
            <a:ext uri="{FF2B5EF4-FFF2-40B4-BE49-F238E27FC236}">
              <a16:creationId xmlns:a16="http://schemas.microsoft.com/office/drawing/2014/main" id="{8FF2DDEC-AABD-4CE2-8D5A-11C087660B97}"/>
            </a:ext>
          </a:extLst>
        </xdr:cNvPr>
        <xdr:cNvCxnSpPr/>
      </xdr:nvCxnSpPr>
      <xdr:spPr>
        <a:xfrm flipH="1">
          <a:off x="22498050" y="5764530"/>
          <a:ext cx="1261110" cy="0"/>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320040</xdr:colOff>
      <xdr:row>24</xdr:row>
      <xdr:rowOff>0</xdr:rowOff>
    </xdr:from>
    <xdr:to>
      <xdr:col>25</xdr:col>
      <xdr:colOff>320040</xdr:colOff>
      <xdr:row>25</xdr:row>
      <xdr:rowOff>182880</xdr:rowOff>
    </xdr:to>
    <xdr:cxnSp macro="">
      <xdr:nvCxnSpPr>
        <xdr:cNvPr id="16" name="Straight Connector 15">
          <a:extLst>
            <a:ext uri="{FF2B5EF4-FFF2-40B4-BE49-F238E27FC236}">
              <a16:creationId xmlns:a16="http://schemas.microsoft.com/office/drawing/2014/main" id="{C87BE4FC-BEE1-1D5B-B7E3-6B919D0ADCC1}"/>
            </a:ext>
          </a:extLst>
        </xdr:cNvPr>
        <xdr:cNvCxnSpPr/>
      </xdr:nvCxnSpPr>
      <xdr:spPr>
        <a:xfrm>
          <a:off x="22494240" y="5669280"/>
          <a:ext cx="0" cy="3733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358140</xdr:colOff>
      <xdr:row>23</xdr:row>
      <xdr:rowOff>175260</xdr:rowOff>
    </xdr:from>
    <xdr:to>
      <xdr:col>27</xdr:col>
      <xdr:colOff>358140</xdr:colOff>
      <xdr:row>25</xdr:row>
      <xdr:rowOff>167640</xdr:rowOff>
    </xdr:to>
    <xdr:cxnSp macro="">
      <xdr:nvCxnSpPr>
        <xdr:cNvPr id="18" name="Straight Connector 17">
          <a:extLst>
            <a:ext uri="{FF2B5EF4-FFF2-40B4-BE49-F238E27FC236}">
              <a16:creationId xmlns:a16="http://schemas.microsoft.com/office/drawing/2014/main" id="{FED3C645-3B01-409F-992A-11BCE535D47C}"/>
            </a:ext>
          </a:extLst>
        </xdr:cNvPr>
        <xdr:cNvCxnSpPr/>
      </xdr:nvCxnSpPr>
      <xdr:spPr>
        <a:xfrm>
          <a:off x="23751540" y="5654040"/>
          <a:ext cx="0" cy="3733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25</xdr:col>
      <xdr:colOff>495300</xdr:colOff>
      <xdr:row>24</xdr:row>
      <xdr:rowOff>83820</xdr:rowOff>
    </xdr:from>
    <xdr:ext cx="879151" cy="264560"/>
    <xdr:sp macro="" textlink="">
      <xdr:nvSpPr>
        <xdr:cNvPr id="19" name="TextBox 18">
          <a:extLst>
            <a:ext uri="{FF2B5EF4-FFF2-40B4-BE49-F238E27FC236}">
              <a16:creationId xmlns:a16="http://schemas.microsoft.com/office/drawing/2014/main" id="{DAC20316-5AD0-5E95-68EF-4E1DE4CA679E}"/>
            </a:ext>
          </a:extLst>
        </xdr:cNvPr>
        <xdr:cNvSpPr txBox="1"/>
      </xdr:nvSpPr>
      <xdr:spPr>
        <a:xfrm>
          <a:off x="22669500" y="5753100"/>
          <a:ext cx="8791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Track Width</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21</xdr:col>
      <xdr:colOff>422970</xdr:colOff>
      <xdr:row>1</xdr:row>
      <xdr:rowOff>31263</xdr:rowOff>
    </xdr:from>
    <xdr:to>
      <xdr:col>33</xdr:col>
      <xdr:colOff>489313</xdr:colOff>
      <xdr:row>24</xdr:row>
      <xdr:rowOff>32654</xdr:rowOff>
    </xdr:to>
    <xdr:graphicFrame macro="">
      <xdr:nvGraphicFramePr>
        <xdr:cNvPr id="6" name="Chart 5">
          <a:extLst>
            <a:ext uri="{FF2B5EF4-FFF2-40B4-BE49-F238E27FC236}">
              <a16:creationId xmlns:a16="http://schemas.microsoft.com/office/drawing/2014/main" id="{187AB3B8-8A23-8C68-E55A-9AF6C52C7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387806</xdr:colOff>
      <xdr:row>26</xdr:row>
      <xdr:rowOff>155122</xdr:rowOff>
    </xdr:from>
    <xdr:to>
      <xdr:col>37</xdr:col>
      <xdr:colOff>115662</xdr:colOff>
      <xdr:row>44</xdr:row>
      <xdr:rowOff>133350</xdr:rowOff>
    </xdr:to>
    <xdr:graphicFrame macro="">
      <xdr:nvGraphicFramePr>
        <xdr:cNvPr id="2" name="Chart 1">
          <a:extLst>
            <a:ext uri="{FF2B5EF4-FFF2-40B4-BE49-F238E27FC236}">
              <a16:creationId xmlns:a16="http://schemas.microsoft.com/office/drawing/2014/main" id="{F3C33FE6-F5BC-4681-9922-AD72F9DE0C26}"/>
            </a:ext>
            <a:ext uri="{147F2762-F138-4A5C-976F-8EAC2B608ADB}">
              <a16:predDERef xmlns:a16="http://schemas.microsoft.com/office/drawing/2014/main" pred="{187AB3B8-8A23-8C68-E55A-9AF6C52C7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444500</xdr:colOff>
      <xdr:row>20</xdr:row>
      <xdr:rowOff>104141</xdr:rowOff>
    </xdr:from>
    <xdr:to>
      <xdr:col>25</xdr:col>
      <xdr:colOff>143510</xdr:colOff>
      <xdr:row>35</xdr:row>
      <xdr:rowOff>50801</xdr:rowOff>
    </xdr:to>
    <xdr:graphicFrame macro="">
      <xdr:nvGraphicFramePr>
        <xdr:cNvPr id="2" name="Chart 1">
          <a:extLst>
            <a:ext uri="{FF2B5EF4-FFF2-40B4-BE49-F238E27FC236}">
              <a16:creationId xmlns:a16="http://schemas.microsoft.com/office/drawing/2014/main" id="{7ABAD651-CA4F-44A6-90FB-0CA482773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81703</xdr:colOff>
      <xdr:row>1</xdr:row>
      <xdr:rowOff>79163</xdr:rowOff>
    </xdr:from>
    <xdr:to>
      <xdr:col>29</xdr:col>
      <xdr:colOff>250190</xdr:colOff>
      <xdr:row>19</xdr:row>
      <xdr:rowOff>171873</xdr:rowOff>
    </xdr:to>
    <xdr:graphicFrame macro="">
      <xdr:nvGraphicFramePr>
        <xdr:cNvPr id="3" name="Chart 2">
          <a:extLst>
            <a:ext uri="{FF2B5EF4-FFF2-40B4-BE49-F238E27FC236}">
              <a16:creationId xmlns:a16="http://schemas.microsoft.com/office/drawing/2014/main" id="{79E7C202-F1F0-4A97-80AD-49CE7BCD4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0"/>
  <sheetViews>
    <sheetView topLeftCell="D28" zoomScaleNormal="100" workbookViewId="0">
      <selection activeCell="P4" sqref="P4"/>
    </sheetView>
  </sheetViews>
  <sheetFormatPr defaultRowHeight="15" x14ac:dyDescent="0.25"/>
  <cols>
    <col min="1" max="1" width="21.5703125" customWidth="1"/>
    <col min="2" max="3" width="12" customWidth="1"/>
    <col min="4" max="4" width="19.28515625" customWidth="1"/>
    <col min="5" max="5" width="13.5703125" customWidth="1"/>
    <col min="6" max="6" width="15.42578125" customWidth="1"/>
    <col min="7" max="7" width="13" customWidth="1"/>
    <col min="8" max="8" width="14" customWidth="1"/>
    <col min="9" max="10" width="13.28515625" customWidth="1"/>
    <col min="11" max="11" width="14.28515625" customWidth="1"/>
    <col min="12" max="14" width="12" customWidth="1"/>
    <col min="15" max="15" width="13.5703125" customWidth="1"/>
    <col min="16" max="16" width="13" customWidth="1"/>
    <col min="17" max="18" width="15" customWidth="1"/>
    <col min="19" max="19" width="12.5703125" customWidth="1"/>
    <col min="21" max="21" width="12.7109375" customWidth="1"/>
    <col min="22" max="23" width="8.7109375" style="1"/>
    <col min="29" max="29" width="12.42578125" customWidth="1"/>
    <col min="30" max="30" width="12.28515625" customWidth="1"/>
    <col min="257" max="257" width="21.5703125" customWidth="1"/>
    <col min="258" max="259" width="12" customWidth="1"/>
    <col min="260" max="260" width="19.28515625" customWidth="1"/>
    <col min="261" max="261" width="13.5703125" customWidth="1"/>
    <col min="262" max="262" width="15.42578125" customWidth="1"/>
    <col min="263" max="263" width="13" customWidth="1"/>
    <col min="264" max="264" width="14" customWidth="1"/>
    <col min="265" max="266" width="13.28515625" customWidth="1"/>
    <col min="267" max="267" width="14.28515625" customWidth="1"/>
    <col min="268" max="270" width="12" customWidth="1"/>
    <col min="271" max="271" width="13.5703125" customWidth="1"/>
    <col min="272" max="272" width="13" customWidth="1"/>
    <col min="273" max="274" width="15" customWidth="1"/>
    <col min="513" max="513" width="21.5703125" customWidth="1"/>
    <col min="514" max="515" width="12" customWidth="1"/>
    <col min="516" max="516" width="19.28515625" customWidth="1"/>
    <col min="517" max="517" width="13.5703125" customWidth="1"/>
    <col min="518" max="518" width="15.42578125" customWidth="1"/>
    <col min="519" max="519" width="13" customWidth="1"/>
    <col min="520" max="520" width="14" customWidth="1"/>
    <col min="521" max="522" width="13.28515625" customWidth="1"/>
    <col min="523" max="523" width="14.28515625" customWidth="1"/>
    <col min="524" max="526" width="12" customWidth="1"/>
    <col min="527" max="527" width="13.5703125" customWidth="1"/>
    <col min="528" max="528" width="13" customWidth="1"/>
    <col min="529" max="530" width="15" customWidth="1"/>
    <col min="769" max="769" width="21.5703125" customWidth="1"/>
    <col min="770" max="771" width="12" customWidth="1"/>
    <col min="772" max="772" width="19.28515625" customWidth="1"/>
    <col min="773" max="773" width="13.5703125" customWidth="1"/>
    <col min="774" max="774" width="15.42578125" customWidth="1"/>
    <col min="775" max="775" width="13" customWidth="1"/>
    <col min="776" max="776" width="14" customWidth="1"/>
    <col min="777" max="778" width="13.28515625" customWidth="1"/>
    <col min="779" max="779" width="14.28515625" customWidth="1"/>
    <col min="780" max="782" width="12" customWidth="1"/>
    <col min="783" max="783" width="13.5703125" customWidth="1"/>
    <col min="784" max="784" width="13" customWidth="1"/>
    <col min="785" max="786" width="15" customWidth="1"/>
    <col min="1025" max="1025" width="21.5703125" customWidth="1"/>
    <col min="1026" max="1027" width="12" customWidth="1"/>
    <col min="1028" max="1028" width="19.28515625" customWidth="1"/>
    <col min="1029" max="1029" width="13.5703125" customWidth="1"/>
    <col min="1030" max="1030" width="15.42578125" customWidth="1"/>
    <col min="1031" max="1031" width="13" customWidth="1"/>
    <col min="1032" max="1032" width="14" customWidth="1"/>
    <col min="1033" max="1034" width="13.28515625" customWidth="1"/>
    <col min="1035" max="1035" width="14.28515625" customWidth="1"/>
    <col min="1036" max="1038" width="12" customWidth="1"/>
    <col min="1039" max="1039" width="13.5703125" customWidth="1"/>
    <col min="1040" max="1040" width="13" customWidth="1"/>
    <col min="1041" max="1042" width="15" customWidth="1"/>
    <col min="1281" max="1281" width="21.5703125" customWidth="1"/>
    <col min="1282" max="1283" width="12" customWidth="1"/>
    <col min="1284" max="1284" width="19.28515625" customWidth="1"/>
    <col min="1285" max="1285" width="13.5703125" customWidth="1"/>
    <col min="1286" max="1286" width="15.42578125" customWidth="1"/>
    <col min="1287" max="1287" width="13" customWidth="1"/>
    <col min="1288" max="1288" width="14" customWidth="1"/>
    <col min="1289" max="1290" width="13.28515625" customWidth="1"/>
    <col min="1291" max="1291" width="14.28515625" customWidth="1"/>
    <col min="1292" max="1294" width="12" customWidth="1"/>
    <col min="1295" max="1295" width="13.5703125" customWidth="1"/>
    <col min="1296" max="1296" width="13" customWidth="1"/>
    <col min="1297" max="1298" width="15" customWidth="1"/>
    <col min="1537" max="1537" width="21.5703125" customWidth="1"/>
    <col min="1538" max="1539" width="12" customWidth="1"/>
    <col min="1540" max="1540" width="19.28515625" customWidth="1"/>
    <col min="1541" max="1541" width="13.5703125" customWidth="1"/>
    <col min="1542" max="1542" width="15.42578125" customWidth="1"/>
    <col min="1543" max="1543" width="13" customWidth="1"/>
    <col min="1544" max="1544" width="14" customWidth="1"/>
    <col min="1545" max="1546" width="13.28515625" customWidth="1"/>
    <col min="1547" max="1547" width="14.28515625" customWidth="1"/>
    <col min="1548" max="1550" width="12" customWidth="1"/>
    <col min="1551" max="1551" width="13.5703125" customWidth="1"/>
    <col min="1552" max="1552" width="13" customWidth="1"/>
    <col min="1553" max="1554" width="15" customWidth="1"/>
    <col min="1793" max="1793" width="21.5703125" customWidth="1"/>
    <col min="1794" max="1795" width="12" customWidth="1"/>
    <col min="1796" max="1796" width="19.28515625" customWidth="1"/>
    <col min="1797" max="1797" width="13.5703125" customWidth="1"/>
    <col min="1798" max="1798" width="15.42578125" customWidth="1"/>
    <col min="1799" max="1799" width="13" customWidth="1"/>
    <col min="1800" max="1800" width="14" customWidth="1"/>
    <col min="1801" max="1802" width="13.28515625" customWidth="1"/>
    <col min="1803" max="1803" width="14.28515625" customWidth="1"/>
    <col min="1804" max="1806" width="12" customWidth="1"/>
    <col min="1807" max="1807" width="13.5703125" customWidth="1"/>
    <col min="1808" max="1808" width="13" customWidth="1"/>
    <col min="1809" max="1810" width="15" customWidth="1"/>
    <col min="2049" max="2049" width="21.5703125" customWidth="1"/>
    <col min="2050" max="2051" width="12" customWidth="1"/>
    <col min="2052" max="2052" width="19.28515625" customWidth="1"/>
    <col min="2053" max="2053" width="13.5703125" customWidth="1"/>
    <col min="2054" max="2054" width="15.42578125" customWidth="1"/>
    <col min="2055" max="2055" width="13" customWidth="1"/>
    <col min="2056" max="2056" width="14" customWidth="1"/>
    <col min="2057" max="2058" width="13.28515625" customWidth="1"/>
    <col min="2059" max="2059" width="14.28515625" customWidth="1"/>
    <col min="2060" max="2062" width="12" customWidth="1"/>
    <col min="2063" max="2063" width="13.5703125" customWidth="1"/>
    <col min="2064" max="2064" width="13" customWidth="1"/>
    <col min="2065" max="2066" width="15" customWidth="1"/>
    <col min="2305" max="2305" width="21.5703125" customWidth="1"/>
    <col min="2306" max="2307" width="12" customWidth="1"/>
    <col min="2308" max="2308" width="19.28515625" customWidth="1"/>
    <col min="2309" max="2309" width="13.5703125" customWidth="1"/>
    <col min="2310" max="2310" width="15.42578125" customWidth="1"/>
    <col min="2311" max="2311" width="13" customWidth="1"/>
    <col min="2312" max="2312" width="14" customWidth="1"/>
    <col min="2313" max="2314" width="13.28515625" customWidth="1"/>
    <col min="2315" max="2315" width="14.28515625" customWidth="1"/>
    <col min="2316" max="2318" width="12" customWidth="1"/>
    <col min="2319" max="2319" width="13.5703125" customWidth="1"/>
    <col min="2320" max="2320" width="13" customWidth="1"/>
    <col min="2321" max="2322" width="15" customWidth="1"/>
    <col min="2561" max="2561" width="21.5703125" customWidth="1"/>
    <col min="2562" max="2563" width="12" customWidth="1"/>
    <col min="2564" max="2564" width="19.28515625" customWidth="1"/>
    <col min="2565" max="2565" width="13.5703125" customWidth="1"/>
    <col min="2566" max="2566" width="15.42578125" customWidth="1"/>
    <col min="2567" max="2567" width="13" customWidth="1"/>
    <col min="2568" max="2568" width="14" customWidth="1"/>
    <col min="2569" max="2570" width="13.28515625" customWidth="1"/>
    <col min="2571" max="2571" width="14.28515625" customWidth="1"/>
    <col min="2572" max="2574" width="12" customWidth="1"/>
    <col min="2575" max="2575" width="13.5703125" customWidth="1"/>
    <col min="2576" max="2576" width="13" customWidth="1"/>
    <col min="2577" max="2578" width="15" customWidth="1"/>
    <col min="2817" max="2817" width="21.5703125" customWidth="1"/>
    <col min="2818" max="2819" width="12" customWidth="1"/>
    <col min="2820" max="2820" width="19.28515625" customWidth="1"/>
    <col min="2821" max="2821" width="13.5703125" customWidth="1"/>
    <col min="2822" max="2822" width="15.42578125" customWidth="1"/>
    <col min="2823" max="2823" width="13" customWidth="1"/>
    <col min="2824" max="2824" width="14" customWidth="1"/>
    <col min="2825" max="2826" width="13.28515625" customWidth="1"/>
    <col min="2827" max="2827" width="14.28515625" customWidth="1"/>
    <col min="2828" max="2830" width="12" customWidth="1"/>
    <col min="2831" max="2831" width="13.5703125" customWidth="1"/>
    <col min="2832" max="2832" width="13" customWidth="1"/>
    <col min="2833" max="2834" width="15" customWidth="1"/>
    <col min="3073" max="3073" width="21.5703125" customWidth="1"/>
    <col min="3074" max="3075" width="12" customWidth="1"/>
    <col min="3076" max="3076" width="19.28515625" customWidth="1"/>
    <col min="3077" max="3077" width="13.5703125" customWidth="1"/>
    <col min="3078" max="3078" width="15.42578125" customWidth="1"/>
    <col min="3079" max="3079" width="13" customWidth="1"/>
    <col min="3080" max="3080" width="14" customWidth="1"/>
    <col min="3081" max="3082" width="13.28515625" customWidth="1"/>
    <col min="3083" max="3083" width="14.28515625" customWidth="1"/>
    <col min="3084" max="3086" width="12" customWidth="1"/>
    <col min="3087" max="3087" width="13.5703125" customWidth="1"/>
    <col min="3088" max="3088" width="13" customWidth="1"/>
    <col min="3089" max="3090" width="15" customWidth="1"/>
    <col min="3329" max="3329" width="21.5703125" customWidth="1"/>
    <col min="3330" max="3331" width="12" customWidth="1"/>
    <col min="3332" max="3332" width="19.28515625" customWidth="1"/>
    <col min="3333" max="3333" width="13.5703125" customWidth="1"/>
    <col min="3334" max="3334" width="15.42578125" customWidth="1"/>
    <col min="3335" max="3335" width="13" customWidth="1"/>
    <col min="3336" max="3336" width="14" customWidth="1"/>
    <col min="3337" max="3338" width="13.28515625" customWidth="1"/>
    <col min="3339" max="3339" width="14.28515625" customWidth="1"/>
    <col min="3340" max="3342" width="12" customWidth="1"/>
    <col min="3343" max="3343" width="13.5703125" customWidth="1"/>
    <col min="3344" max="3344" width="13" customWidth="1"/>
    <col min="3345" max="3346" width="15" customWidth="1"/>
    <col min="3585" max="3585" width="21.5703125" customWidth="1"/>
    <col min="3586" max="3587" width="12" customWidth="1"/>
    <col min="3588" max="3588" width="19.28515625" customWidth="1"/>
    <col min="3589" max="3589" width="13.5703125" customWidth="1"/>
    <col min="3590" max="3590" width="15.42578125" customWidth="1"/>
    <col min="3591" max="3591" width="13" customWidth="1"/>
    <col min="3592" max="3592" width="14" customWidth="1"/>
    <col min="3593" max="3594" width="13.28515625" customWidth="1"/>
    <col min="3595" max="3595" width="14.28515625" customWidth="1"/>
    <col min="3596" max="3598" width="12" customWidth="1"/>
    <col min="3599" max="3599" width="13.5703125" customWidth="1"/>
    <col min="3600" max="3600" width="13" customWidth="1"/>
    <col min="3601" max="3602" width="15" customWidth="1"/>
    <col min="3841" max="3841" width="21.5703125" customWidth="1"/>
    <col min="3842" max="3843" width="12" customWidth="1"/>
    <col min="3844" max="3844" width="19.28515625" customWidth="1"/>
    <col min="3845" max="3845" width="13.5703125" customWidth="1"/>
    <col min="3846" max="3846" width="15.42578125" customWidth="1"/>
    <col min="3847" max="3847" width="13" customWidth="1"/>
    <col min="3848" max="3848" width="14" customWidth="1"/>
    <col min="3849" max="3850" width="13.28515625" customWidth="1"/>
    <col min="3851" max="3851" width="14.28515625" customWidth="1"/>
    <col min="3852" max="3854" width="12" customWidth="1"/>
    <col min="3855" max="3855" width="13.5703125" customWidth="1"/>
    <col min="3856" max="3856" width="13" customWidth="1"/>
    <col min="3857" max="3858" width="15" customWidth="1"/>
    <col min="4097" max="4097" width="21.5703125" customWidth="1"/>
    <col min="4098" max="4099" width="12" customWidth="1"/>
    <col min="4100" max="4100" width="19.28515625" customWidth="1"/>
    <col min="4101" max="4101" width="13.5703125" customWidth="1"/>
    <col min="4102" max="4102" width="15.42578125" customWidth="1"/>
    <col min="4103" max="4103" width="13" customWidth="1"/>
    <col min="4104" max="4104" width="14" customWidth="1"/>
    <col min="4105" max="4106" width="13.28515625" customWidth="1"/>
    <col min="4107" max="4107" width="14.28515625" customWidth="1"/>
    <col min="4108" max="4110" width="12" customWidth="1"/>
    <col min="4111" max="4111" width="13.5703125" customWidth="1"/>
    <col min="4112" max="4112" width="13" customWidth="1"/>
    <col min="4113" max="4114" width="15" customWidth="1"/>
    <col min="4353" max="4353" width="21.5703125" customWidth="1"/>
    <col min="4354" max="4355" width="12" customWidth="1"/>
    <col min="4356" max="4356" width="19.28515625" customWidth="1"/>
    <col min="4357" max="4357" width="13.5703125" customWidth="1"/>
    <col min="4358" max="4358" width="15.42578125" customWidth="1"/>
    <col min="4359" max="4359" width="13" customWidth="1"/>
    <col min="4360" max="4360" width="14" customWidth="1"/>
    <col min="4361" max="4362" width="13.28515625" customWidth="1"/>
    <col min="4363" max="4363" width="14.28515625" customWidth="1"/>
    <col min="4364" max="4366" width="12" customWidth="1"/>
    <col min="4367" max="4367" width="13.5703125" customWidth="1"/>
    <col min="4368" max="4368" width="13" customWidth="1"/>
    <col min="4369" max="4370" width="15" customWidth="1"/>
    <col min="4609" max="4609" width="21.5703125" customWidth="1"/>
    <col min="4610" max="4611" width="12" customWidth="1"/>
    <col min="4612" max="4612" width="19.28515625" customWidth="1"/>
    <col min="4613" max="4613" width="13.5703125" customWidth="1"/>
    <col min="4614" max="4614" width="15.42578125" customWidth="1"/>
    <col min="4615" max="4615" width="13" customWidth="1"/>
    <col min="4616" max="4616" width="14" customWidth="1"/>
    <col min="4617" max="4618" width="13.28515625" customWidth="1"/>
    <col min="4619" max="4619" width="14.28515625" customWidth="1"/>
    <col min="4620" max="4622" width="12" customWidth="1"/>
    <col min="4623" max="4623" width="13.5703125" customWidth="1"/>
    <col min="4624" max="4624" width="13" customWidth="1"/>
    <col min="4625" max="4626" width="15" customWidth="1"/>
    <col min="4865" max="4865" width="21.5703125" customWidth="1"/>
    <col min="4866" max="4867" width="12" customWidth="1"/>
    <col min="4868" max="4868" width="19.28515625" customWidth="1"/>
    <col min="4869" max="4869" width="13.5703125" customWidth="1"/>
    <col min="4870" max="4870" width="15.42578125" customWidth="1"/>
    <col min="4871" max="4871" width="13" customWidth="1"/>
    <col min="4872" max="4872" width="14" customWidth="1"/>
    <col min="4873" max="4874" width="13.28515625" customWidth="1"/>
    <col min="4875" max="4875" width="14.28515625" customWidth="1"/>
    <col min="4876" max="4878" width="12" customWidth="1"/>
    <col min="4879" max="4879" width="13.5703125" customWidth="1"/>
    <col min="4880" max="4880" width="13" customWidth="1"/>
    <col min="4881" max="4882" width="15" customWidth="1"/>
    <col min="5121" max="5121" width="21.5703125" customWidth="1"/>
    <col min="5122" max="5123" width="12" customWidth="1"/>
    <col min="5124" max="5124" width="19.28515625" customWidth="1"/>
    <col min="5125" max="5125" width="13.5703125" customWidth="1"/>
    <col min="5126" max="5126" width="15.42578125" customWidth="1"/>
    <col min="5127" max="5127" width="13" customWidth="1"/>
    <col min="5128" max="5128" width="14" customWidth="1"/>
    <col min="5129" max="5130" width="13.28515625" customWidth="1"/>
    <col min="5131" max="5131" width="14.28515625" customWidth="1"/>
    <col min="5132" max="5134" width="12" customWidth="1"/>
    <col min="5135" max="5135" width="13.5703125" customWidth="1"/>
    <col min="5136" max="5136" width="13" customWidth="1"/>
    <col min="5137" max="5138" width="15" customWidth="1"/>
    <col min="5377" max="5377" width="21.5703125" customWidth="1"/>
    <col min="5378" max="5379" width="12" customWidth="1"/>
    <col min="5380" max="5380" width="19.28515625" customWidth="1"/>
    <col min="5381" max="5381" width="13.5703125" customWidth="1"/>
    <col min="5382" max="5382" width="15.42578125" customWidth="1"/>
    <col min="5383" max="5383" width="13" customWidth="1"/>
    <col min="5384" max="5384" width="14" customWidth="1"/>
    <col min="5385" max="5386" width="13.28515625" customWidth="1"/>
    <col min="5387" max="5387" width="14.28515625" customWidth="1"/>
    <col min="5388" max="5390" width="12" customWidth="1"/>
    <col min="5391" max="5391" width="13.5703125" customWidth="1"/>
    <col min="5392" max="5392" width="13" customWidth="1"/>
    <col min="5393" max="5394" width="15" customWidth="1"/>
    <col min="5633" max="5633" width="21.5703125" customWidth="1"/>
    <col min="5634" max="5635" width="12" customWidth="1"/>
    <col min="5636" max="5636" width="19.28515625" customWidth="1"/>
    <col min="5637" max="5637" width="13.5703125" customWidth="1"/>
    <col min="5638" max="5638" width="15.42578125" customWidth="1"/>
    <col min="5639" max="5639" width="13" customWidth="1"/>
    <col min="5640" max="5640" width="14" customWidth="1"/>
    <col min="5641" max="5642" width="13.28515625" customWidth="1"/>
    <col min="5643" max="5643" width="14.28515625" customWidth="1"/>
    <col min="5644" max="5646" width="12" customWidth="1"/>
    <col min="5647" max="5647" width="13.5703125" customWidth="1"/>
    <col min="5648" max="5648" width="13" customWidth="1"/>
    <col min="5649" max="5650" width="15" customWidth="1"/>
    <col min="5889" max="5889" width="21.5703125" customWidth="1"/>
    <col min="5890" max="5891" width="12" customWidth="1"/>
    <col min="5892" max="5892" width="19.28515625" customWidth="1"/>
    <col min="5893" max="5893" width="13.5703125" customWidth="1"/>
    <col min="5894" max="5894" width="15.42578125" customWidth="1"/>
    <col min="5895" max="5895" width="13" customWidth="1"/>
    <col min="5896" max="5896" width="14" customWidth="1"/>
    <col min="5897" max="5898" width="13.28515625" customWidth="1"/>
    <col min="5899" max="5899" width="14.28515625" customWidth="1"/>
    <col min="5900" max="5902" width="12" customWidth="1"/>
    <col min="5903" max="5903" width="13.5703125" customWidth="1"/>
    <col min="5904" max="5904" width="13" customWidth="1"/>
    <col min="5905" max="5906" width="15" customWidth="1"/>
    <col min="6145" max="6145" width="21.5703125" customWidth="1"/>
    <col min="6146" max="6147" width="12" customWidth="1"/>
    <col min="6148" max="6148" width="19.28515625" customWidth="1"/>
    <col min="6149" max="6149" width="13.5703125" customWidth="1"/>
    <col min="6150" max="6150" width="15.42578125" customWidth="1"/>
    <col min="6151" max="6151" width="13" customWidth="1"/>
    <col min="6152" max="6152" width="14" customWidth="1"/>
    <col min="6153" max="6154" width="13.28515625" customWidth="1"/>
    <col min="6155" max="6155" width="14.28515625" customWidth="1"/>
    <col min="6156" max="6158" width="12" customWidth="1"/>
    <col min="6159" max="6159" width="13.5703125" customWidth="1"/>
    <col min="6160" max="6160" width="13" customWidth="1"/>
    <col min="6161" max="6162" width="15" customWidth="1"/>
    <col min="6401" max="6401" width="21.5703125" customWidth="1"/>
    <col min="6402" max="6403" width="12" customWidth="1"/>
    <col min="6404" max="6404" width="19.28515625" customWidth="1"/>
    <col min="6405" max="6405" width="13.5703125" customWidth="1"/>
    <col min="6406" max="6406" width="15.42578125" customWidth="1"/>
    <col min="6407" max="6407" width="13" customWidth="1"/>
    <col min="6408" max="6408" width="14" customWidth="1"/>
    <col min="6409" max="6410" width="13.28515625" customWidth="1"/>
    <col min="6411" max="6411" width="14.28515625" customWidth="1"/>
    <col min="6412" max="6414" width="12" customWidth="1"/>
    <col min="6415" max="6415" width="13.5703125" customWidth="1"/>
    <col min="6416" max="6416" width="13" customWidth="1"/>
    <col min="6417" max="6418" width="15" customWidth="1"/>
    <col min="6657" max="6657" width="21.5703125" customWidth="1"/>
    <col min="6658" max="6659" width="12" customWidth="1"/>
    <col min="6660" max="6660" width="19.28515625" customWidth="1"/>
    <col min="6661" max="6661" width="13.5703125" customWidth="1"/>
    <col min="6662" max="6662" width="15.42578125" customWidth="1"/>
    <col min="6663" max="6663" width="13" customWidth="1"/>
    <col min="6664" max="6664" width="14" customWidth="1"/>
    <col min="6665" max="6666" width="13.28515625" customWidth="1"/>
    <col min="6667" max="6667" width="14.28515625" customWidth="1"/>
    <col min="6668" max="6670" width="12" customWidth="1"/>
    <col min="6671" max="6671" width="13.5703125" customWidth="1"/>
    <col min="6672" max="6672" width="13" customWidth="1"/>
    <col min="6673" max="6674" width="15" customWidth="1"/>
    <col min="6913" max="6913" width="21.5703125" customWidth="1"/>
    <col min="6914" max="6915" width="12" customWidth="1"/>
    <col min="6916" max="6916" width="19.28515625" customWidth="1"/>
    <col min="6917" max="6917" width="13.5703125" customWidth="1"/>
    <col min="6918" max="6918" width="15.42578125" customWidth="1"/>
    <col min="6919" max="6919" width="13" customWidth="1"/>
    <col min="6920" max="6920" width="14" customWidth="1"/>
    <col min="6921" max="6922" width="13.28515625" customWidth="1"/>
    <col min="6923" max="6923" width="14.28515625" customWidth="1"/>
    <col min="6924" max="6926" width="12" customWidth="1"/>
    <col min="6927" max="6927" width="13.5703125" customWidth="1"/>
    <col min="6928" max="6928" width="13" customWidth="1"/>
    <col min="6929" max="6930" width="15" customWidth="1"/>
    <col min="7169" max="7169" width="21.5703125" customWidth="1"/>
    <col min="7170" max="7171" width="12" customWidth="1"/>
    <col min="7172" max="7172" width="19.28515625" customWidth="1"/>
    <col min="7173" max="7173" width="13.5703125" customWidth="1"/>
    <col min="7174" max="7174" width="15.42578125" customWidth="1"/>
    <col min="7175" max="7175" width="13" customWidth="1"/>
    <col min="7176" max="7176" width="14" customWidth="1"/>
    <col min="7177" max="7178" width="13.28515625" customWidth="1"/>
    <col min="7179" max="7179" width="14.28515625" customWidth="1"/>
    <col min="7180" max="7182" width="12" customWidth="1"/>
    <col min="7183" max="7183" width="13.5703125" customWidth="1"/>
    <col min="7184" max="7184" width="13" customWidth="1"/>
    <col min="7185" max="7186" width="15" customWidth="1"/>
    <col min="7425" max="7425" width="21.5703125" customWidth="1"/>
    <col min="7426" max="7427" width="12" customWidth="1"/>
    <col min="7428" max="7428" width="19.28515625" customWidth="1"/>
    <col min="7429" max="7429" width="13.5703125" customWidth="1"/>
    <col min="7430" max="7430" width="15.42578125" customWidth="1"/>
    <col min="7431" max="7431" width="13" customWidth="1"/>
    <col min="7432" max="7432" width="14" customWidth="1"/>
    <col min="7433" max="7434" width="13.28515625" customWidth="1"/>
    <col min="7435" max="7435" width="14.28515625" customWidth="1"/>
    <col min="7436" max="7438" width="12" customWidth="1"/>
    <col min="7439" max="7439" width="13.5703125" customWidth="1"/>
    <col min="7440" max="7440" width="13" customWidth="1"/>
    <col min="7441" max="7442" width="15" customWidth="1"/>
    <col min="7681" max="7681" width="21.5703125" customWidth="1"/>
    <col min="7682" max="7683" width="12" customWidth="1"/>
    <col min="7684" max="7684" width="19.28515625" customWidth="1"/>
    <col min="7685" max="7685" width="13.5703125" customWidth="1"/>
    <col min="7686" max="7686" width="15.42578125" customWidth="1"/>
    <col min="7687" max="7687" width="13" customWidth="1"/>
    <col min="7688" max="7688" width="14" customWidth="1"/>
    <col min="7689" max="7690" width="13.28515625" customWidth="1"/>
    <col min="7691" max="7691" width="14.28515625" customWidth="1"/>
    <col min="7692" max="7694" width="12" customWidth="1"/>
    <col min="7695" max="7695" width="13.5703125" customWidth="1"/>
    <col min="7696" max="7696" width="13" customWidth="1"/>
    <col min="7697" max="7698" width="15" customWidth="1"/>
    <col min="7937" max="7937" width="21.5703125" customWidth="1"/>
    <col min="7938" max="7939" width="12" customWidth="1"/>
    <col min="7940" max="7940" width="19.28515625" customWidth="1"/>
    <col min="7941" max="7941" width="13.5703125" customWidth="1"/>
    <col min="7942" max="7942" width="15.42578125" customWidth="1"/>
    <col min="7943" max="7943" width="13" customWidth="1"/>
    <col min="7944" max="7944" width="14" customWidth="1"/>
    <col min="7945" max="7946" width="13.28515625" customWidth="1"/>
    <col min="7947" max="7947" width="14.28515625" customWidth="1"/>
    <col min="7948" max="7950" width="12" customWidth="1"/>
    <col min="7951" max="7951" width="13.5703125" customWidth="1"/>
    <col min="7952" max="7952" width="13" customWidth="1"/>
    <col min="7953" max="7954" width="15" customWidth="1"/>
    <col min="8193" max="8193" width="21.5703125" customWidth="1"/>
    <col min="8194" max="8195" width="12" customWidth="1"/>
    <col min="8196" max="8196" width="19.28515625" customWidth="1"/>
    <col min="8197" max="8197" width="13.5703125" customWidth="1"/>
    <col min="8198" max="8198" width="15.42578125" customWidth="1"/>
    <col min="8199" max="8199" width="13" customWidth="1"/>
    <col min="8200" max="8200" width="14" customWidth="1"/>
    <col min="8201" max="8202" width="13.28515625" customWidth="1"/>
    <col min="8203" max="8203" width="14.28515625" customWidth="1"/>
    <col min="8204" max="8206" width="12" customWidth="1"/>
    <col min="8207" max="8207" width="13.5703125" customWidth="1"/>
    <col min="8208" max="8208" width="13" customWidth="1"/>
    <col min="8209" max="8210" width="15" customWidth="1"/>
    <col min="8449" max="8449" width="21.5703125" customWidth="1"/>
    <col min="8450" max="8451" width="12" customWidth="1"/>
    <col min="8452" max="8452" width="19.28515625" customWidth="1"/>
    <col min="8453" max="8453" width="13.5703125" customWidth="1"/>
    <col min="8454" max="8454" width="15.42578125" customWidth="1"/>
    <col min="8455" max="8455" width="13" customWidth="1"/>
    <col min="8456" max="8456" width="14" customWidth="1"/>
    <col min="8457" max="8458" width="13.28515625" customWidth="1"/>
    <col min="8459" max="8459" width="14.28515625" customWidth="1"/>
    <col min="8460" max="8462" width="12" customWidth="1"/>
    <col min="8463" max="8463" width="13.5703125" customWidth="1"/>
    <col min="8464" max="8464" width="13" customWidth="1"/>
    <col min="8465" max="8466" width="15" customWidth="1"/>
    <col min="8705" max="8705" width="21.5703125" customWidth="1"/>
    <col min="8706" max="8707" width="12" customWidth="1"/>
    <col min="8708" max="8708" width="19.28515625" customWidth="1"/>
    <col min="8709" max="8709" width="13.5703125" customWidth="1"/>
    <col min="8710" max="8710" width="15.42578125" customWidth="1"/>
    <col min="8711" max="8711" width="13" customWidth="1"/>
    <col min="8712" max="8712" width="14" customWidth="1"/>
    <col min="8713" max="8714" width="13.28515625" customWidth="1"/>
    <col min="8715" max="8715" width="14.28515625" customWidth="1"/>
    <col min="8716" max="8718" width="12" customWidth="1"/>
    <col min="8719" max="8719" width="13.5703125" customWidth="1"/>
    <col min="8720" max="8720" width="13" customWidth="1"/>
    <col min="8721" max="8722" width="15" customWidth="1"/>
    <col min="8961" max="8961" width="21.5703125" customWidth="1"/>
    <col min="8962" max="8963" width="12" customWidth="1"/>
    <col min="8964" max="8964" width="19.28515625" customWidth="1"/>
    <col min="8965" max="8965" width="13.5703125" customWidth="1"/>
    <col min="8966" max="8966" width="15.42578125" customWidth="1"/>
    <col min="8967" max="8967" width="13" customWidth="1"/>
    <col min="8968" max="8968" width="14" customWidth="1"/>
    <col min="8969" max="8970" width="13.28515625" customWidth="1"/>
    <col min="8971" max="8971" width="14.28515625" customWidth="1"/>
    <col min="8972" max="8974" width="12" customWidth="1"/>
    <col min="8975" max="8975" width="13.5703125" customWidth="1"/>
    <col min="8976" max="8976" width="13" customWidth="1"/>
    <col min="8977" max="8978" width="15" customWidth="1"/>
    <col min="9217" max="9217" width="21.5703125" customWidth="1"/>
    <col min="9218" max="9219" width="12" customWidth="1"/>
    <col min="9220" max="9220" width="19.28515625" customWidth="1"/>
    <col min="9221" max="9221" width="13.5703125" customWidth="1"/>
    <col min="9222" max="9222" width="15.42578125" customWidth="1"/>
    <col min="9223" max="9223" width="13" customWidth="1"/>
    <col min="9224" max="9224" width="14" customWidth="1"/>
    <col min="9225" max="9226" width="13.28515625" customWidth="1"/>
    <col min="9227" max="9227" width="14.28515625" customWidth="1"/>
    <col min="9228" max="9230" width="12" customWidth="1"/>
    <col min="9231" max="9231" width="13.5703125" customWidth="1"/>
    <col min="9232" max="9232" width="13" customWidth="1"/>
    <col min="9233" max="9234" width="15" customWidth="1"/>
    <col min="9473" max="9473" width="21.5703125" customWidth="1"/>
    <col min="9474" max="9475" width="12" customWidth="1"/>
    <col min="9476" max="9476" width="19.28515625" customWidth="1"/>
    <col min="9477" max="9477" width="13.5703125" customWidth="1"/>
    <col min="9478" max="9478" width="15.42578125" customWidth="1"/>
    <col min="9479" max="9479" width="13" customWidth="1"/>
    <col min="9480" max="9480" width="14" customWidth="1"/>
    <col min="9481" max="9482" width="13.28515625" customWidth="1"/>
    <col min="9483" max="9483" width="14.28515625" customWidth="1"/>
    <col min="9484" max="9486" width="12" customWidth="1"/>
    <col min="9487" max="9487" width="13.5703125" customWidth="1"/>
    <col min="9488" max="9488" width="13" customWidth="1"/>
    <col min="9489" max="9490" width="15" customWidth="1"/>
    <col min="9729" max="9729" width="21.5703125" customWidth="1"/>
    <col min="9730" max="9731" width="12" customWidth="1"/>
    <col min="9732" max="9732" width="19.28515625" customWidth="1"/>
    <col min="9733" max="9733" width="13.5703125" customWidth="1"/>
    <col min="9734" max="9734" width="15.42578125" customWidth="1"/>
    <col min="9735" max="9735" width="13" customWidth="1"/>
    <col min="9736" max="9736" width="14" customWidth="1"/>
    <col min="9737" max="9738" width="13.28515625" customWidth="1"/>
    <col min="9739" max="9739" width="14.28515625" customWidth="1"/>
    <col min="9740" max="9742" width="12" customWidth="1"/>
    <col min="9743" max="9743" width="13.5703125" customWidth="1"/>
    <col min="9744" max="9744" width="13" customWidth="1"/>
    <col min="9745" max="9746" width="15" customWidth="1"/>
    <col min="9985" max="9985" width="21.5703125" customWidth="1"/>
    <col min="9986" max="9987" width="12" customWidth="1"/>
    <col min="9988" max="9988" width="19.28515625" customWidth="1"/>
    <col min="9989" max="9989" width="13.5703125" customWidth="1"/>
    <col min="9990" max="9990" width="15.42578125" customWidth="1"/>
    <col min="9991" max="9991" width="13" customWidth="1"/>
    <col min="9992" max="9992" width="14" customWidth="1"/>
    <col min="9993" max="9994" width="13.28515625" customWidth="1"/>
    <col min="9995" max="9995" width="14.28515625" customWidth="1"/>
    <col min="9996" max="9998" width="12" customWidth="1"/>
    <col min="9999" max="9999" width="13.5703125" customWidth="1"/>
    <col min="10000" max="10000" width="13" customWidth="1"/>
    <col min="10001" max="10002" width="15" customWidth="1"/>
    <col min="10241" max="10241" width="21.5703125" customWidth="1"/>
    <col min="10242" max="10243" width="12" customWidth="1"/>
    <col min="10244" max="10244" width="19.28515625" customWidth="1"/>
    <col min="10245" max="10245" width="13.5703125" customWidth="1"/>
    <col min="10246" max="10246" width="15.42578125" customWidth="1"/>
    <col min="10247" max="10247" width="13" customWidth="1"/>
    <col min="10248" max="10248" width="14" customWidth="1"/>
    <col min="10249" max="10250" width="13.28515625" customWidth="1"/>
    <col min="10251" max="10251" width="14.28515625" customWidth="1"/>
    <col min="10252" max="10254" width="12" customWidth="1"/>
    <col min="10255" max="10255" width="13.5703125" customWidth="1"/>
    <col min="10256" max="10256" width="13" customWidth="1"/>
    <col min="10257" max="10258" width="15" customWidth="1"/>
    <col min="10497" max="10497" width="21.5703125" customWidth="1"/>
    <col min="10498" max="10499" width="12" customWidth="1"/>
    <col min="10500" max="10500" width="19.28515625" customWidth="1"/>
    <col min="10501" max="10501" width="13.5703125" customWidth="1"/>
    <col min="10502" max="10502" width="15.42578125" customWidth="1"/>
    <col min="10503" max="10503" width="13" customWidth="1"/>
    <col min="10504" max="10504" width="14" customWidth="1"/>
    <col min="10505" max="10506" width="13.28515625" customWidth="1"/>
    <col min="10507" max="10507" width="14.28515625" customWidth="1"/>
    <col min="10508" max="10510" width="12" customWidth="1"/>
    <col min="10511" max="10511" width="13.5703125" customWidth="1"/>
    <col min="10512" max="10512" width="13" customWidth="1"/>
    <col min="10513" max="10514" width="15" customWidth="1"/>
    <col min="10753" max="10753" width="21.5703125" customWidth="1"/>
    <col min="10754" max="10755" width="12" customWidth="1"/>
    <col min="10756" max="10756" width="19.28515625" customWidth="1"/>
    <col min="10757" max="10757" width="13.5703125" customWidth="1"/>
    <col min="10758" max="10758" width="15.42578125" customWidth="1"/>
    <col min="10759" max="10759" width="13" customWidth="1"/>
    <col min="10760" max="10760" width="14" customWidth="1"/>
    <col min="10761" max="10762" width="13.28515625" customWidth="1"/>
    <col min="10763" max="10763" width="14.28515625" customWidth="1"/>
    <col min="10764" max="10766" width="12" customWidth="1"/>
    <col min="10767" max="10767" width="13.5703125" customWidth="1"/>
    <col min="10768" max="10768" width="13" customWidth="1"/>
    <col min="10769" max="10770" width="15" customWidth="1"/>
    <col min="11009" max="11009" width="21.5703125" customWidth="1"/>
    <col min="11010" max="11011" width="12" customWidth="1"/>
    <col min="11012" max="11012" width="19.28515625" customWidth="1"/>
    <col min="11013" max="11013" width="13.5703125" customWidth="1"/>
    <col min="11014" max="11014" width="15.42578125" customWidth="1"/>
    <col min="11015" max="11015" width="13" customWidth="1"/>
    <col min="11016" max="11016" width="14" customWidth="1"/>
    <col min="11017" max="11018" width="13.28515625" customWidth="1"/>
    <col min="11019" max="11019" width="14.28515625" customWidth="1"/>
    <col min="11020" max="11022" width="12" customWidth="1"/>
    <col min="11023" max="11023" width="13.5703125" customWidth="1"/>
    <col min="11024" max="11024" width="13" customWidth="1"/>
    <col min="11025" max="11026" width="15" customWidth="1"/>
    <col min="11265" max="11265" width="21.5703125" customWidth="1"/>
    <col min="11266" max="11267" width="12" customWidth="1"/>
    <col min="11268" max="11268" width="19.28515625" customWidth="1"/>
    <col min="11269" max="11269" width="13.5703125" customWidth="1"/>
    <col min="11270" max="11270" width="15.42578125" customWidth="1"/>
    <col min="11271" max="11271" width="13" customWidth="1"/>
    <col min="11272" max="11272" width="14" customWidth="1"/>
    <col min="11273" max="11274" width="13.28515625" customWidth="1"/>
    <col min="11275" max="11275" width="14.28515625" customWidth="1"/>
    <col min="11276" max="11278" width="12" customWidth="1"/>
    <col min="11279" max="11279" width="13.5703125" customWidth="1"/>
    <col min="11280" max="11280" width="13" customWidth="1"/>
    <col min="11281" max="11282" width="15" customWidth="1"/>
    <col min="11521" max="11521" width="21.5703125" customWidth="1"/>
    <col min="11522" max="11523" width="12" customWidth="1"/>
    <col min="11524" max="11524" width="19.28515625" customWidth="1"/>
    <col min="11525" max="11525" width="13.5703125" customWidth="1"/>
    <col min="11526" max="11526" width="15.42578125" customWidth="1"/>
    <col min="11527" max="11527" width="13" customWidth="1"/>
    <col min="11528" max="11528" width="14" customWidth="1"/>
    <col min="11529" max="11530" width="13.28515625" customWidth="1"/>
    <col min="11531" max="11531" width="14.28515625" customWidth="1"/>
    <col min="11532" max="11534" width="12" customWidth="1"/>
    <col min="11535" max="11535" width="13.5703125" customWidth="1"/>
    <col min="11536" max="11536" width="13" customWidth="1"/>
    <col min="11537" max="11538" width="15" customWidth="1"/>
    <col min="11777" max="11777" width="21.5703125" customWidth="1"/>
    <col min="11778" max="11779" width="12" customWidth="1"/>
    <col min="11780" max="11780" width="19.28515625" customWidth="1"/>
    <col min="11781" max="11781" width="13.5703125" customWidth="1"/>
    <col min="11782" max="11782" width="15.42578125" customWidth="1"/>
    <col min="11783" max="11783" width="13" customWidth="1"/>
    <col min="11784" max="11784" width="14" customWidth="1"/>
    <col min="11785" max="11786" width="13.28515625" customWidth="1"/>
    <col min="11787" max="11787" width="14.28515625" customWidth="1"/>
    <col min="11788" max="11790" width="12" customWidth="1"/>
    <col min="11791" max="11791" width="13.5703125" customWidth="1"/>
    <col min="11792" max="11792" width="13" customWidth="1"/>
    <col min="11793" max="11794" width="15" customWidth="1"/>
    <col min="12033" max="12033" width="21.5703125" customWidth="1"/>
    <col min="12034" max="12035" width="12" customWidth="1"/>
    <col min="12036" max="12036" width="19.28515625" customWidth="1"/>
    <col min="12037" max="12037" width="13.5703125" customWidth="1"/>
    <col min="12038" max="12038" width="15.42578125" customWidth="1"/>
    <col min="12039" max="12039" width="13" customWidth="1"/>
    <col min="12040" max="12040" width="14" customWidth="1"/>
    <col min="12041" max="12042" width="13.28515625" customWidth="1"/>
    <col min="12043" max="12043" width="14.28515625" customWidth="1"/>
    <col min="12044" max="12046" width="12" customWidth="1"/>
    <col min="12047" max="12047" width="13.5703125" customWidth="1"/>
    <col min="12048" max="12048" width="13" customWidth="1"/>
    <col min="12049" max="12050" width="15" customWidth="1"/>
    <col min="12289" max="12289" width="21.5703125" customWidth="1"/>
    <col min="12290" max="12291" width="12" customWidth="1"/>
    <col min="12292" max="12292" width="19.28515625" customWidth="1"/>
    <col min="12293" max="12293" width="13.5703125" customWidth="1"/>
    <col min="12294" max="12294" width="15.42578125" customWidth="1"/>
    <col min="12295" max="12295" width="13" customWidth="1"/>
    <col min="12296" max="12296" width="14" customWidth="1"/>
    <col min="12297" max="12298" width="13.28515625" customWidth="1"/>
    <col min="12299" max="12299" width="14.28515625" customWidth="1"/>
    <col min="12300" max="12302" width="12" customWidth="1"/>
    <col min="12303" max="12303" width="13.5703125" customWidth="1"/>
    <col min="12304" max="12304" width="13" customWidth="1"/>
    <col min="12305" max="12306" width="15" customWidth="1"/>
    <col min="12545" max="12545" width="21.5703125" customWidth="1"/>
    <col min="12546" max="12547" width="12" customWidth="1"/>
    <col min="12548" max="12548" width="19.28515625" customWidth="1"/>
    <col min="12549" max="12549" width="13.5703125" customWidth="1"/>
    <col min="12550" max="12550" width="15.42578125" customWidth="1"/>
    <col min="12551" max="12551" width="13" customWidth="1"/>
    <col min="12552" max="12552" width="14" customWidth="1"/>
    <col min="12553" max="12554" width="13.28515625" customWidth="1"/>
    <col min="12555" max="12555" width="14.28515625" customWidth="1"/>
    <col min="12556" max="12558" width="12" customWidth="1"/>
    <col min="12559" max="12559" width="13.5703125" customWidth="1"/>
    <col min="12560" max="12560" width="13" customWidth="1"/>
    <col min="12561" max="12562" width="15" customWidth="1"/>
    <col min="12801" max="12801" width="21.5703125" customWidth="1"/>
    <col min="12802" max="12803" width="12" customWidth="1"/>
    <col min="12804" max="12804" width="19.28515625" customWidth="1"/>
    <col min="12805" max="12805" width="13.5703125" customWidth="1"/>
    <col min="12806" max="12806" width="15.42578125" customWidth="1"/>
    <col min="12807" max="12807" width="13" customWidth="1"/>
    <col min="12808" max="12808" width="14" customWidth="1"/>
    <col min="12809" max="12810" width="13.28515625" customWidth="1"/>
    <col min="12811" max="12811" width="14.28515625" customWidth="1"/>
    <col min="12812" max="12814" width="12" customWidth="1"/>
    <col min="12815" max="12815" width="13.5703125" customWidth="1"/>
    <col min="12816" max="12816" width="13" customWidth="1"/>
    <col min="12817" max="12818" width="15" customWidth="1"/>
    <col min="13057" max="13057" width="21.5703125" customWidth="1"/>
    <col min="13058" max="13059" width="12" customWidth="1"/>
    <col min="13060" max="13060" width="19.28515625" customWidth="1"/>
    <col min="13061" max="13061" width="13.5703125" customWidth="1"/>
    <col min="13062" max="13062" width="15.42578125" customWidth="1"/>
    <col min="13063" max="13063" width="13" customWidth="1"/>
    <col min="13064" max="13064" width="14" customWidth="1"/>
    <col min="13065" max="13066" width="13.28515625" customWidth="1"/>
    <col min="13067" max="13067" width="14.28515625" customWidth="1"/>
    <col min="13068" max="13070" width="12" customWidth="1"/>
    <col min="13071" max="13071" width="13.5703125" customWidth="1"/>
    <col min="13072" max="13072" width="13" customWidth="1"/>
    <col min="13073" max="13074" width="15" customWidth="1"/>
    <col min="13313" max="13313" width="21.5703125" customWidth="1"/>
    <col min="13314" max="13315" width="12" customWidth="1"/>
    <col min="13316" max="13316" width="19.28515625" customWidth="1"/>
    <col min="13317" max="13317" width="13.5703125" customWidth="1"/>
    <col min="13318" max="13318" width="15.42578125" customWidth="1"/>
    <col min="13319" max="13319" width="13" customWidth="1"/>
    <col min="13320" max="13320" width="14" customWidth="1"/>
    <col min="13321" max="13322" width="13.28515625" customWidth="1"/>
    <col min="13323" max="13323" width="14.28515625" customWidth="1"/>
    <col min="13324" max="13326" width="12" customWidth="1"/>
    <col min="13327" max="13327" width="13.5703125" customWidth="1"/>
    <col min="13328" max="13328" width="13" customWidth="1"/>
    <col min="13329" max="13330" width="15" customWidth="1"/>
    <col min="13569" max="13569" width="21.5703125" customWidth="1"/>
    <col min="13570" max="13571" width="12" customWidth="1"/>
    <col min="13572" max="13572" width="19.28515625" customWidth="1"/>
    <col min="13573" max="13573" width="13.5703125" customWidth="1"/>
    <col min="13574" max="13574" width="15.42578125" customWidth="1"/>
    <col min="13575" max="13575" width="13" customWidth="1"/>
    <col min="13576" max="13576" width="14" customWidth="1"/>
    <col min="13577" max="13578" width="13.28515625" customWidth="1"/>
    <col min="13579" max="13579" width="14.28515625" customWidth="1"/>
    <col min="13580" max="13582" width="12" customWidth="1"/>
    <col min="13583" max="13583" width="13.5703125" customWidth="1"/>
    <col min="13584" max="13584" width="13" customWidth="1"/>
    <col min="13585" max="13586" width="15" customWidth="1"/>
    <col min="13825" max="13825" width="21.5703125" customWidth="1"/>
    <col min="13826" max="13827" width="12" customWidth="1"/>
    <col min="13828" max="13828" width="19.28515625" customWidth="1"/>
    <col min="13829" max="13829" width="13.5703125" customWidth="1"/>
    <col min="13830" max="13830" width="15.42578125" customWidth="1"/>
    <col min="13831" max="13831" width="13" customWidth="1"/>
    <col min="13832" max="13832" width="14" customWidth="1"/>
    <col min="13833" max="13834" width="13.28515625" customWidth="1"/>
    <col min="13835" max="13835" width="14.28515625" customWidth="1"/>
    <col min="13836" max="13838" width="12" customWidth="1"/>
    <col min="13839" max="13839" width="13.5703125" customWidth="1"/>
    <col min="13840" max="13840" width="13" customWidth="1"/>
    <col min="13841" max="13842" width="15" customWidth="1"/>
    <col min="14081" max="14081" width="21.5703125" customWidth="1"/>
    <col min="14082" max="14083" width="12" customWidth="1"/>
    <col min="14084" max="14084" width="19.28515625" customWidth="1"/>
    <col min="14085" max="14085" width="13.5703125" customWidth="1"/>
    <col min="14086" max="14086" width="15.42578125" customWidth="1"/>
    <col min="14087" max="14087" width="13" customWidth="1"/>
    <col min="14088" max="14088" width="14" customWidth="1"/>
    <col min="14089" max="14090" width="13.28515625" customWidth="1"/>
    <col min="14091" max="14091" width="14.28515625" customWidth="1"/>
    <col min="14092" max="14094" width="12" customWidth="1"/>
    <col min="14095" max="14095" width="13.5703125" customWidth="1"/>
    <col min="14096" max="14096" width="13" customWidth="1"/>
    <col min="14097" max="14098" width="15" customWidth="1"/>
    <col min="14337" max="14337" width="21.5703125" customWidth="1"/>
    <col min="14338" max="14339" width="12" customWidth="1"/>
    <col min="14340" max="14340" width="19.28515625" customWidth="1"/>
    <col min="14341" max="14341" width="13.5703125" customWidth="1"/>
    <col min="14342" max="14342" width="15.42578125" customWidth="1"/>
    <col min="14343" max="14343" width="13" customWidth="1"/>
    <col min="14344" max="14344" width="14" customWidth="1"/>
    <col min="14345" max="14346" width="13.28515625" customWidth="1"/>
    <col min="14347" max="14347" width="14.28515625" customWidth="1"/>
    <col min="14348" max="14350" width="12" customWidth="1"/>
    <col min="14351" max="14351" width="13.5703125" customWidth="1"/>
    <col min="14352" max="14352" width="13" customWidth="1"/>
    <col min="14353" max="14354" width="15" customWidth="1"/>
    <col min="14593" max="14593" width="21.5703125" customWidth="1"/>
    <col min="14594" max="14595" width="12" customWidth="1"/>
    <col min="14596" max="14596" width="19.28515625" customWidth="1"/>
    <col min="14597" max="14597" width="13.5703125" customWidth="1"/>
    <col min="14598" max="14598" width="15.42578125" customWidth="1"/>
    <col min="14599" max="14599" width="13" customWidth="1"/>
    <col min="14600" max="14600" width="14" customWidth="1"/>
    <col min="14601" max="14602" width="13.28515625" customWidth="1"/>
    <col min="14603" max="14603" width="14.28515625" customWidth="1"/>
    <col min="14604" max="14606" width="12" customWidth="1"/>
    <col min="14607" max="14607" width="13.5703125" customWidth="1"/>
    <col min="14608" max="14608" width="13" customWidth="1"/>
    <col min="14609" max="14610" width="15" customWidth="1"/>
    <col min="14849" max="14849" width="21.5703125" customWidth="1"/>
    <col min="14850" max="14851" width="12" customWidth="1"/>
    <col min="14852" max="14852" width="19.28515625" customWidth="1"/>
    <col min="14853" max="14853" width="13.5703125" customWidth="1"/>
    <col min="14854" max="14854" width="15.42578125" customWidth="1"/>
    <col min="14855" max="14855" width="13" customWidth="1"/>
    <col min="14856" max="14856" width="14" customWidth="1"/>
    <col min="14857" max="14858" width="13.28515625" customWidth="1"/>
    <col min="14859" max="14859" width="14.28515625" customWidth="1"/>
    <col min="14860" max="14862" width="12" customWidth="1"/>
    <col min="14863" max="14863" width="13.5703125" customWidth="1"/>
    <col min="14864" max="14864" width="13" customWidth="1"/>
    <col min="14865" max="14866" width="15" customWidth="1"/>
    <col min="15105" max="15105" width="21.5703125" customWidth="1"/>
    <col min="15106" max="15107" width="12" customWidth="1"/>
    <col min="15108" max="15108" width="19.28515625" customWidth="1"/>
    <col min="15109" max="15109" width="13.5703125" customWidth="1"/>
    <col min="15110" max="15110" width="15.42578125" customWidth="1"/>
    <col min="15111" max="15111" width="13" customWidth="1"/>
    <col min="15112" max="15112" width="14" customWidth="1"/>
    <col min="15113" max="15114" width="13.28515625" customWidth="1"/>
    <col min="15115" max="15115" width="14.28515625" customWidth="1"/>
    <col min="15116" max="15118" width="12" customWidth="1"/>
    <col min="15119" max="15119" width="13.5703125" customWidth="1"/>
    <col min="15120" max="15120" width="13" customWidth="1"/>
    <col min="15121" max="15122" width="15" customWidth="1"/>
    <col min="15361" max="15361" width="21.5703125" customWidth="1"/>
    <col min="15362" max="15363" width="12" customWidth="1"/>
    <col min="15364" max="15364" width="19.28515625" customWidth="1"/>
    <col min="15365" max="15365" width="13.5703125" customWidth="1"/>
    <col min="15366" max="15366" width="15.42578125" customWidth="1"/>
    <col min="15367" max="15367" width="13" customWidth="1"/>
    <col min="15368" max="15368" width="14" customWidth="1"/>
    <col min="15369" max="15370" width="13.28515625" customWidth="1"/>
    <col min="15371" max="15371" width="14.28515625" customWidth="1"/>
    <col min="15372" max="15374" width="12" customWidth="1"/>
    <col min="15375" max="15375" width="13.5703125" customWidth="1"/>
    <col min="15376" max="15376" width="13" customWidth="1"/>
    <col min="15377" max="15378" width="15" customWidth="1"/>
    <col min="15617" max="15617" width="21.5703125" customWidth="1"/>
    <col min="15618" max="15619" width="12" customWidth="1"/>
    <col min="15620" max="15620" width="19.28515625" customWidth="1"/>
    <col min="15621" max="15621" width="13.5703125" customWidth="1"/>
    <col min="15622" max="15622" width="15.42578125" customWidth="1"/>
    <col min="15623" max="15623" width="13" customWidth="1"/>
    <col min="15624" max="15624" width="14" customWidth="1"/>
    <col min="15625" max="15626" width="13.28515625" customWidth="1"/>
    <col min="15627" max="15627" width="14.28515625" customWidth="1"/>
    <col min="15628" max="15630" width="12" customWidth="1"/>
    <col min="15631" max="15631" width="13.5703125" customWidth="1"/>
    <col min="15632" max="15632" width="13" customWidth="1"/>
    <col min="15633" max="15634" width="15" customWidth="1"/>
    <col min="15873" max="15873" width="21.5703125" customWidth="1"/>
    <col min="15874" max="15875" width="12" customWidth="1"/>
    <col min="15876" max="15876" width="19.28515625" customWidth="1"/>
    <col min="15877" max="15877" width="13.5703125" customWidth="1"/>
    <col min="15878" max="15878" width="15.42578125" customWidth="1"/>
    <col min="15879" max="15879" width="13" customWidth="1"/>
    <col min="15880" max="15880" width="14" customWidth="1"/>
    <col min="15881" max="15882" width="13.28515625" customWidth="1"/>
    <col min="15883" max="15883" width="14.28515625" customWidth="1"/>
    <col min="15884" max="15886" width="12" customWidth="1"/>
    <col min="15887" max="15887" width="13.5703125" customWidth="1"/>
    <col min="15888" max="15888" width="13" customWidth="1"/>
    <col min="15889" max="15890" width="15" customWidth="1"/>
    <col min="16129" max="16129" width="21.5703125" customWidth="1"/>
    <col min="16130" max="16131" width="12" customWidth="1"/>
    <col min="16132" max="16132" width="19.28515625" customWidth="1"/>
    <col min="16133" max="16133" width="13.5703125" customWidth="1"/>
    <col min="16134" max="16134" width="15.42578125" customWidth="1"/>
    <col min="16135" max="16135" width="13" customWidth="1"/>
    <col min="16136" max="16136" width="14" customWidth="1"/>
    <col min="16137" max="16138" width="13.28515625" customWidth="1"/>
    <col min="16139" max="16139" width="14.28515625" customWidth="1"/>
    <col min="16140" max="16142" width="12" customWidth="1"/>
    <col min="16143" max="16143" width="13.5703125" customWidth="1"/>
    <col min="16144" max="16144" width="13" customWidth="1"/>
    <col min="16145" max="16146" width="15" customWidth="1"/>
  </cols>
  <sheetData>
    <row r="1" spans="1:30" x14ac:dyDescent="0.25">
      <c r="A1" s="1"/>
      <c r="B1" s="1"/>
      <c r="C1" s="1"/>
      <c r="D1" s="1"/>
      <c r="E1" s="1"/>
      <c r="F1" s="1"/>
      <c r="G1" s="1"/>
      <c r="H1" s="1"/>
      <c r="I1" s="1"/>
      <c r="J1" s="1"/>
      <c r="K1" s="1"/>
      <c r="L1" s="1"/>
      <c r="M1" s="1"/>
      <c r="N1" s="1"/>
      <c r="O1" s="1"/>
      <c r="P1" s="1"/>
      <c r="Q1" s="1"/>
      <c r="R1" s="1"/>
      <c r="S1" s="1"/>
      <c r="T1" s="1"/>
      <c r="U1" s="1"/>
    </row>
    <row r="2" spans="1:30" x14ac:dyDescent="0.25">
      <c r="A2" s="1"/>
      <c r="B2" s="1"/>
      <c r="C2" s="1"/>
      <c r="D2" s="1"/>
      <c r="E2" s="1"/>
      <c r="F2" s="1"/>
      <c r="G2" s="1"/>
      <c r="H2" s="1"/>
      <c r="I2" s="1"/>
      <c r="J2" s="1"/>
      <c r="K2" s="1"/>
      <c r="L2" s="1"/>
      <c r="M2" s="1"/>
      <c r="N2" s="1"/>
      <c r="O2" s="1"/>
      <c r="P2" s="1"/>
      <c r="Q2" s="1"/>
      <c r="R2" s="1"/>
      <c r="S2" s="1"/>
      <c r="T2" s="1"/>
      <c r="U2" s="1"/>
    </row>
    <row r="3" spans="1:30" ht="15.75" thickBot="1" x14ac:dyDescent="0.3">
      <c r="A3" s="1"/>
      <c r="B3" s="1"/>
      <c r="C3" s="1"/>
      <c r="D3" s="1"/>
      <c r="E3" s="1"/>
      <c r="F3" s="1"/>
      <c r="G3" s="1"/>
      <c r="H3" s="1"/>
      <c r="I3" s="1"/>
      <c r="J3" s="1"/>
      <c r="K3" s="1"/>
      <c r="L3" s="1"/>
      <c r="M3" s="1"/>
      <c r="N3" s="1"/>
      <c r="O3" s="1"/>
      <c r="P3" s="1"/>
      <c r="Q3" s="1"/>
      <c r="R3" s="1"/>
      <c r="S3" s="1"/>
      <c r="T3" s="1"/>
      <c r="U3" s="1"/>
    </row>
    <row r="4" spans="1:30" ht="61.5" customHeight="1" x14ac:dyDescent="0.25">
      <c r="A4" s="1"/>
      <c r="B4" s="1"/>
      <c r="C4" s="1"/>
      <c r="D4" s="2" t="s">
        <v>0</v>
      </c>
      <c r="E4" s="3" t="s">
        <v>1</v>
      </c>
      <c r="F4" s="4" t="s">
        <v>2</v>
      </c>
      <c r="G4" s="3" t="s">
        <v>3</v>
      </c>
      <c r="H4" s="5" t="s">
        <v>4</v>
      </c>
      <c r="I4" s="3" t="s">
        <v>5</v>
      </c>
      <c r="J4" s="5" t="s">
        <v>6</v>
      </c>
      <c r="K4" s="5" t="s">
        <v>7</v>
      </c>
      <c r="L4" s="5" t="s">
        <v>8</v>
      </c>
      <c r="M4" s="5" t="s">
        <v>9</v>
      </c>
      <c r="N4" s="5" t="s">
        <v>10</v>
      </c>
      <c r="O4" s="6" t="s">
        <v>11</v>
      </c>
      <c r="P4" s="1"/>
      <c r="Q4" s="11" t="s">
        <v>12</v>
      </c>
      <c r="R4" s="5" t="s">
        <v>13</v>
      </c>
      <c r="S4" s="63" t="s">
        <v>14</v>
      </c>
      <c r="T4" s="5" t="s">
        <v>15</v>
      </c>
      <c r="U4" s="6" t="s">
        <v>16</v>
      </c>
    </row>
    <row r="5" spans="1:30" ht="15.75" thickBot="1" x14ac:dyDescent="0.3">
      <c r="A5" s="1"/>
      <c r="B5" s="1"/>
      <c r="C5" s="1"/>
      <c r="D5" s="7">
        <v>0.8</v>
      </c>
      <c r="E5" s="8">
        <v>0.02</v>
      </c>
      <c r="F5" s="8">
        <v>1.1639999999999999</v>
      </c>
      <c r="G5" s="8">
        <v>0.5</v>
      </c>
      <c r="H5" s="8">
        <f>0.559/2</f>
        <v>0.27950000000000003</v>
      </c>
      <c r="I5" s="8">
        <v>5.2210000000000001</v>
      </c>
      <c r="J5" s="8">
        <v>0.95</v>
      </c>
      <c r="K5" s="8">
        <v>0.85</v>
      </c>
      <c r="L5" s="8">
        <f>BatWeight+VehicleWeight</f>
        <v>150</v>
      </c>
      <c r="M5" s="8">
        <v>0</v>
      </c>
      <c r="N5" s="8">
        <v>1.06</v>
      </c>
      <c r="O5" s="9">
        <v>50</v>
      </c>
      <c r="P5" s="1"/>
      <c r="Q5" s="7">
        <v>0.1</v>
      </c>
      <c r="R5" s="8">
        <v>4</v>
      </c>
      <c r="S5" s="8">
        <v>2</v>
      </c>
      <c r="T5" s="8">
        <f>H8/R5</f>
        <v>37.5</v>
      </c>
      <c r="U5" s="9">
        <f>T5*9.8*Q5</f>
        <v>36.75</v>
      </c>
    </row>
    <row r="6" spans="1:30" ht="15.75" thickBot="1" x14ac:dyDescent="0.3">
      <c r="A6" s="1"/>
      <c r="B6" s="10"/>
      <c r="C6" s="10"/>
      <c r="D6" s="1"/>
      <c r="E6" s="1"/>
      <c r="F6" s="1"/>
      <c r="G6" s="10"/>
      <c r="H6" s="10"/>
      <c r="I6" s="10"/>
      <c r="J6" s="10"/>
      <c r="K6" s="10"/>
      <c r="L6" s="10"/>
      <c r="M6" s="1"/>
      <c r="N6" s="1"/>
      <c r="O6" s="1"/>
      <c r="P6" s="1"/>
      <c r="Q6" s="1"/>
      <c r="R6" s="1"/>
      <c r="S6" s="1"/>
      <c r="T6" s="1"/>
      <c r="U6" s="1"/>
    </row>
    <row r="7" spans="1:30" ht="54.75" customHeight="1" x14ac:dyDescent="0.25">
      <c r="A7" s="1"/>
      <c r="B7" s="10"/>
      <c r="C7" s="10"/>
      <c r="D7" s="11" t="s">
        <v>17</v>
      </c>
      <c r="E7" s="5" t="s">
        <v>18</v>
      </c>
      <c r="F7" s="5" t="s">
        <v>19</v>
      </c>
      <c r="G7" s="5" t="s">
        <v>20</v>
      </c>
      <c r="H7" s="5" t="s">
        <v>21</v>
      </c>
      <c r="I7" s="5" t="s">
        <v>22</v>
      </c>
      <c r="J7" s="5" t="s">
        <v>23</v>
      </c>
      <c r="K7" s="5" t="s">
        <v>24</v>
      </c>
      <c r="L7" s="5" t="s">
        <v>25</v>
      </c>
      <c r="M7" s="5" t="s">
        <v>26</v>
      </c>
      <c r="N7" s="6" t="s">
        <v>27</v>
      </c>
      <c r="O7" s="6" t="s">
        <v>28</v>
      </c>
      <c r="P7" s="1"/>
      <c r="Q7" s="11" t="s">
        <v>29</v>
      </c>
      <c r="R7" s="5" t="s">
        <v>30</v>
      </c>
      <c r="S7" s="5" t="s">
        <v>31</v>
      </c>
      <c r="T7" s="6" t="s">
        <v>32</v>
      </c>
      <c r="U7" s="1"/>
      <c r="AC7" s="71" t="s">
        <v>33</v>
      </c>
      <c r="AD7" s="72" t="s">
        <v>34</v>
      </c>
    </row>
    <row r="8" spans="1:30" ht="15.75" thickBot="1" x14ac:dyDescent="0.3">
      <c r="A8" s="1"/>
      <c r="B8" s="10"/>
      <c r="C8" s="10"/>
      <c r="D8" s="7">
        <v>5</v>
      </c>
      <c r="E8" s="8">
        <v>30</v>
      </c>
      <c r="F8" s="8">
        <v>50</v>
      </c>
      <c r="G8" s="8">
        <v>5</v>
      </c>
      <c r="H8" s="8">
        <f>KerbWeight+LoadWeight</f>
        <v>150</v>
      </c>
      <c r="I8" s="8">
        <v>70</v>
      </c>
      <c r="J8" s="8">
        <v>0</v>
      </c>
      <c r="K8" s="8">
        <v>1000</v>
      </c>
      <c r="L8" s="8">
        <v>0</v>
      </c>
      <c r="M8" s="8">
        <v>150</v>
      </c>
      <c r="N8" s="9">
        <v>0</v>
      </c>
      <c r="O8" s="9">
        <v>0</v>
      </c>
      <c r="P8" s="1"/>
      <c r="Q8" s="7">
        <v>0.6</v>
      </c>
      <c r="R8" s="8">
        <v>0.7</v>
      </c>
      <c r="S8" s="8">
        <v>0.5</v>
      </c>
      <c r="T8" s="9">
        <f>S8*57.2958</f>
        <v>28.6479</v>
      </c>
      <c r="U8" s="1"/>
      <c r="AC8" s="73">
        <v>1.5</v>
      </c>
      <c r="AD8" s="75">
        <f>11.11/AC8</f>
        <v>7.4066666666666663</v>
      </c>
    </row>
    <row r="9" spans="1:30" x14ac:dyDescent="0.25">
      <c r="A9" s="1"/>
      <c r="B9" s="10"/>
      <c r="C9" s="10"/>
      <c r="D9" s="1"/>
      <c r="E9" s="1"/>
      <c r="F9" s="1"/>
      <c r="G9" s="1"/>
      <c r="H9" s="1"/>
      <c r="I9" s="1"/>
      <c r="J9" s="1"/>
      <c r="K9" s="12"/>
      <c r="L9" s="12"/>
      <c r="M9" s="1"/>
      <c r="N9" s="1"/>
      <c r="O9" s="1"/>
      <c r="P9" s="1"/>
      <c r="Q9" s="1"/>
      <c r="R9" s="1"/>
      <c r="S9" s="1"/>
      <c r="T9" s="1"/>
      <c r="U9" s="1"/>
      <c r="AC9" s="73">
        <v>2</v>
      </c>
      <c r="AD9" s="75">
        <f t="shared" ref="AD9:AD10" si="0">11.11/AC9</f>
        <v>5.5549999999999997</v>
      </c>
    </row>
    <row r="10" spans="1:30" ht="15.75" thickBot="1" x14ac:dyDescent="0.3">
      <c r="A10" s="1"/>
      <c r="B10" s="10"/>
      <c r="C10" s="10"/>
      <c r="D10" s="1"/>
      <c r="E10" s="1"/>
      <c r="F10" s="1"/>
      <c r="G10" s="1"/>
      <c r="H10" s="1"/>
      <c r="I10" s="1"/>
      <c r="J10" s="1"/>
      <c r="K10" s="12"/>
      <c r="L10" s="12"/>
      <c r="M10" s="1"/>
      <c r="N10" s="1"/>
      <c r="O10" s="1"/>
      <c r="P10" s="1"/>
      <c r="Q10" s="1"/>
      <c r="R10" s="1"/>
      <c r="S10" s="1"/>
      <c r="T10" s="1"/>
      <c r="U10" s="1"/>
      <c r="AC10" s="74">
        <v>2.5</v>
      </c>
      <c r="AD10" s="76">
        <f t="shared" si="0"/>
        <v>4.444</v>
      </c>
    </row>
    <row r="11" spans="1:30" ht="15.75" thickBot="1" x14ac:dyDescent="0.3">
      <c r="A11" s="1"/>
      <c r="B11" s="1"/>
      <c r="C11" s="1"/>
      <c r="D11" s="1"/>
      <c r="E11" s="1"/>
      <c r="F11" s="1"/>
      <c r="G11" s="1"/>
      <c r="H11" s="1"/>
      <c r="I11" s="1"/>
      <c r="J11" s="1"/>
      <c r="K11" s="91" t="s">
        <v>35</v>
      </c>
      <c r="L11" s="92"/>
      <c r="M11" s="92"/>
      <c r="N11" s="92"/>
      <c r="O11" s="93"/>
      <c r="P11" s="1"/>
      <c r="Q11" s="91" t="s">
        <v>36</v>
      </c>
      <c r="R11" s="92"/>
      <c r="S11" s="92"/>
      <c r="T11" s="92"/>
      <c r="U11" s="93"/>
    </row>
    <row r="12" spans="1:30" ht="19.5" x14ac:dyDescent="0.35">
      <c r="A12" s="1"/>
      <c r="B12" s="1"/>
      <c r="C12" s="1"/>
      <c r="D12" s="13" t="s">
        <v>37</v>
      </c>
      <c r="E12" s="14" t="s">
        <v>38</v>
      </c>
      <c r="F12" s="14" t="s">
        <v>39</v>
      </c>
      <c r="G12" s="15" t="s">
        <v>40</v>
      </c>
      <c r="H12" s="1"/>
      <c r="I12" s="1"/>
      <c r="J12" s="1"/>
      <c r="K12" s="94" t="s">
        <v>41</v>
      </c>
      <c r="L12" s="95"/>
      <c r="M12" s="95"/>
      <c r="N12" s="95"/>
      <c r="O12" s="16">
        <f>((Fdragcont+Froll)*(ContSpeed*0.2777778))/(GearEfficency)</f>
        <v>1086.3657973272814</v>
      </c>
      <c r="P12" s="1"/>
      <c r="Q12" s="94" t="s">
        <v>41</v>
      </c>
      <c r="R12" s="95"/>
      <c r="S12" s="95"/>
      <c r="T12" s="95"/>
      <c r="U12" s="16">
        <f>((Fdragcont+Froll)*(ContSpeed*0.2777778))/(GearEfficency*S5)</f>
        <v>543.18289866364069</v>
      </c>
    </row>
    <row r="13" spans="1:30" ht="15.75" thickBot="1" x14ac:dyDescent="0.3">
      <c r="A13" s="1"/>
      <c r="B13" s="1"/>
      <c r="C13" s="1"/>
      <c r="D13" s="17">
        <f>Cd*Density*Area*ContSpeed*ContSpeed*0.03858025308642</f>
        <v>44.907414592592879</v>
      </c>
      <c r="E13" s="18">
        <f>Cd*Density*Area*SlopeSpeed*SlopeSpeed*0.03858025308642</f>
        <v>0.44907414592592881</v>
      </c>
      <c r="F13" s="19">
        <f>Cr*(KerbWeight+LoadWeight)*9.8</f>
        <v>29.400000000000002</v>
      </c>
      <c r="G13" s="20">
        <f>(KerbWeight+LoadWeight)*9.8*SIN(Angle*0.01745329)</f>
        <v>734.99990375902826</v>
      </c>
      <c r="H13" s="1"/>
      <c r="I13" s="1"/>
      <c r="J13" s="1"/>
      <c r="K13" s="96" t="s">
        <v>42</v>
      </c>
      <c r="L13" s="97"/>
      <c r="M13" s="97"/>
      <c r="N13" s="97"/>
      <c r="O13" s="21">
        <f>((Fdragslope+Froll+Fclimb)*(SlopeSpeed*0.2777778))/(GearEfficency)</f>
        <v>1118.2003495509832</v>
      </c>
      <c r="P13" s="1"/>
      <c r="Q13" s="96" t="s">
        <v>42</v>
      </c>
      <c r="R13" s="97"/>
      <c r="S13" s="97"/>
      <c r="T13" s="97"/>
      <c r="U13" s="21">
        <f>((Fdragslope+Froll+Fclimb)*(SlopeSpeed*0.2777778))/(GearEfficency*S5)</f>
        <v>559.10017477549161</v>
      </c>
    </row>
    <row r="14" spans="1:30" ht="15.75" thickBot="1" x14ac:dyDescent="0.3">
      <c r="A14" s="10"/>
      <c r="B14" s="10"/>
      <c r="C14" s="1"/>
      <c r="D14" s="1"/>
      <c r="E14" s="1"/>
      <c r="F14" s="1"/>
      <c r="G14" s="1"/>
      <c r="H14" s="1"/>
      <c r="I14" s="1"/>
      <c r="J14" s="1"/>
      <c r="K14" s="80" t="s">
        <v>43</v>
      </c>
      <c r="L14" s="81"/>
      <c r="M14" s="81"/>
      <c r="N14" s="81"/>
      <c r="O14" s="22">
        <f>(H18+H19+H20)/(GearEfficency)</f>
        <v>4303.6941168240401</v>
      </c>
      <c r="P14" s="1"/>
      <c r="Q14" s="80" t="s">
        <v>43</v>
      </c>
      <c r="R14" s="81"/>
      <c r="S14" s="81"/>
      <c r="T14" s="81"/>
      <c r="U14" s="22">
        <f>(O18+O19+O20)/(GearEfficency)</f>
        <v>62.830104890292617</v>
      </c>
    </row>
    <row r="15" spans="1:30" ht="15.75" thickBot="1" x14ac:dyDescent="0.3">
      <c r="A15" s="10"/>
      <c r="B15" s="10"/>
      <c r="C15" s="1"/>
      <c r="D15" s="91" t="s">
        <v>44</v>
      </c>
      <c r="E15" s="92"/>
      <c r="F15" s="92"/>
      <c r="G15" s="92"/>
      <c r="H15" s="93"/>
      <c r="I15" s="1"/>
      <c r="J15" s="1"/>
      <c r="K15" s="1"/>
      <c r="L15" s="1"/>
      <c r="M15" s="1"/>
      <c r="N15" s="1"/>
      <c r="O15" s="1"/>
      <c r="P15" s="1"/>
      <c r="Q15" s="1"/>
      <c r="R15" s="1"/>
      <c r="S15" s="1"/>
      <c r="T15" s="1"/>
      <c r="U15" s="1"/>
    </row>
    <row r="16" spans="1:30" ht="15.75" thickBot="1" x14ac:dyDescent="0.3">
      <c r="A16" s="10"/>
      <c r="B16" s="10"/>
      <c r="C16" s="1"/>
      <c r="D16" s="94" t="s">
        <v>45</v>
      </c>
      <c r="E16" s="95"/>
      <c r="F16" s="95"/>
      <c r="G16" s="95"/>
      <c r="H16" s="23">
        <f>(2*3.1415*WheelRadius*ContWeight)/(GearRatio*60)</f>
        <v>5.60588169571602</v>
      </c>
      <c r="I16" s="1"/>
      <c r="J16" s="1"/>
      <c r="K16" s="85" t="s">
        <v>46</v>
      </c>
      <c r="L16" s="86"/>
      <c r="M16" s="87"/>
      <c r="N16" s="25" t="s">
        <v>47</v>
      </c>
      <c r="O16" s="26" t="s">
        <v>48</v>
      </c>
      <c r="P16" s="1"/>
      <c r="Q16" s="85" t="s">
        <v>49</v>
      </c>
      <c r="R16" s="86"/>
      <c r="S16" s="87"/>
      <c r="T16" s="25" t="s">
        <v>47</v>
      </c>
      <c r="U16" s="26" t="s">
        <v>48</v>
      </c>
    </row>
    <row r="17" spans="1:21" x14ac:dyDescent="0.25">
      <c r="A17" s="10"/>
      <c r="B17" s="10"/>
      <c r="C17" s="1"/>
      <c r="D17" s="96" t="s">
        <v>50</v>
      </c>
      <c r="E17" s="97"/>
      <c r="F17" s="97"/>
      <c r="G17" s="97"/>
      <c r="H17" s="24">
        <f>AccSpeed*0.277777777777777</f>
        <v>13.88888888888885</v>
      </c>
      <c r="I17" s="1"/>
      <c r="J17" s="1"/>
      <c r="K17" s="88" t="s">
        <v>51</v>
      </c>
      <c r="L17" s="89"/>
      <c r="M17" s="90"/>
      <c r="N17" s="27">
        <f>(ContSpeed*GearRatio)/(2*3.1415*WheelRadius*0.001*60)</f>
        <v>2477.5565455658284</v>
      </c>
      <c r="O17" s="65">
        <f>(O12*60)/(2*3.1415*N17)</f>
        <v>4.1873252835499351</v>
      </c>
      <c r="P17" s="1"/>
      <c r="Q17" s="88" t="s">
        <v>51</v>
      </c>
      <c r="R17" s="89"/>
      <c r="S17" s="90"/>
      <c r="T17" s="27">
        <f>(ContSpeed*GearRatio)/(2*3.1415*WheelRadius*0.001*60)</f>
        <v>2477.5565455658284</v>
      </c>
      <c r="U17" s="65">
        <f>(O12*60)/(2*3.1415*N17*S5)</f>
        <v>2.0936626417749675</v>
      </c>
    </row>
    <row r="18" spans="1:21" x14ac:dyDescent="0.25">
      <c r="A18" s="10"/>
      <c r="B18" s="10"/>
      <c r="C18" s="1"/>
      <c r="D18" s="96" t="s">
        <v>52</v>
      </c>
      <c r="E18" s="97"/>
      <c r="F18" s="97"/>
      <c r="G18" s="97"/>
      <c r="H18" s="21">
        <f>((Inertia*H8)/(2*AccTime))*((H17^2)+(H16^2))</f>
        <v>3566.8015920527992</v>
      </c>
      <c r="I18" s="1"/>
      <c r="J18" s="1"/>
      <c r="K18" s="82" t="s">
        <v>53</v>
      </c>
      <c r="L18" s="83"/>
      <c r="M18" s="84"/>
      <c r="N18" s="28">
        <f>(AccSpeed*GearRatio)/(2*3.1415*WheelRadius*0.001*60)</f>
        <v>2477.5565455658284</v>
      </c>
      <c r="O18" s="16">
        <f>(O14*60)/(2*3.1415*N18)</f>
        <v>16.588305000376746</v>
      </c>
      <c r="P18" s="1"/>
      <c r="Q18" s="82" t="s">
        <v>53</v>
      </c>
      <c r="R18" s="83"/>
      <c r="S18" s="84"/>
      <c r="T18" s="28">
        <f>(AccSpeed*GearRatio)/(2*3.1415*WheelRadius*0.001*60)</f>
        <v>2477.5565455658284</v>
      </c>
      <c r="U18" s="65">
        <f>(O14*60)/(2*3.1415*N18*S5)</f>
        <v>8.2941525001883729</v>
      </c>
    </row>
    <row r="19" spans="1:21" ht="15.75" thickBot="1" x14ac:dyDescent="0.3">
      <c r="A19" s="10"/>
      <c r="B19" s="10"/>
      <c r="C19" s="1"/>
      <c r="D19" s="96" t="s">
        <v>54</v>
      </c>
      <c r="E19" s="97"/>
      <c r="F19" s="97"/>
      <c r="G19" s="97"/>
      <c r="H19" s="21">
        <f>(Density*Cd*Area*H17*H17*H17)/5</f>
        <v>249.48559670781688</v>
      </c>
      <c r="I19" s="1"/>
      <c r="J19" s="1"/>
      <c r="K19" s="80" t="s">
        <v>55</v>
      </c>
      <c r="L19" s="81"/>
      <c r="M19" s="81"/>
      <c r="N19" s="29">
        <f>(SlopeSpeed*GearRatio)/(2*3.1415*WheelRadius*0.001*60)</f>
        <v>247.75565455658284</v>
      </c>
      <c r="O19" s="22">
        <f>(O13*60)/(2*3.1415*N19)</f>
        <v>43.100294645401242</v>
      </c>
      <c r="P19" s="1"/>
      <c r="Q19" s="80" t="s">
        <v>55</v>
      </c>
      <c r="R19" s="81"/>
      <c r="S19" s="81"/>
      <c r="T19" s="29">
        <f>(SlopeSpeed*GearRatio)/(2*3.1415*WheelRadius*0.001*60)</f>
        <v>247.75565455658284</v>
      </c>
      <c r="U19" s="66">
        <f>(O13*60)/(2*3.1415*N19*S5)</f>
        <v>21.550147322700621</v>
      </c>
    </row>
    <row r="20" spans="1:21" ht="15.75" thickBot="1" x14ac:dyDescent="0.3">
      <c r="A20" s="10"/>
      <c r="B20" s="10"/>
      <c r="C20" s="1"/>
      <c r="D20" s="96" t="s">
        <v>56</v>
      </c>
      <c r="E20" s="97"/>
      <c r="F20" s="97"/>
      <c r="G20" s="97"/>
      <c r="H20" s="21">
        <f>(2*Cr*H8*9.8*H17)/3</f>
        <v>272.22222222222149</v>
      </c>
      <c r="I20" s="1"/>
      <c r="J20" s="1"/>
      <c r="K20" s="1"/>
      <c r="L20" s="1"/>
      <c r="M20" s="1"/>
      <c r="N20" s="1"/>
      <c r="O20" s="1"/>
      <c r="P20" s="1"/>
      <c r="Q20" s="1"/>
      <c r="R20" s="1"/>
      <c r="S20" s="1"/>
      <c r="T20" s="1"/>
      <c r="U20" s="1"/>
    </row>
    <row r="21" spans="1:21" ht="15.75" thickBot="1" x14ac:dyDescent="0.3">
      <c r="A21" s="1"/>
      <c r="B21" s="1"/>
      <c r="D21" s="80" t="s">
        <v>57</v>
      </c>
      <c r="E21" s="81"/>
      <c r="F21" s="81"/>
      <c r="G21" s="81"/>
      <c r="H21" s="22">
        <f>(H18+H19+H20)/(GearEfficency*MotorEfficiency)</f>
        <v>5063.1695492047529</v>
      </c>
      <c r="I21" s="1"/>
      <c r="J21" s="1"/>
      <c r="K21" s="91" t="s">
        <v>58</v>
      </c>
      <c r="L21" s="92"/>
      <c r="M21" s="92"/>
      <c r="N21" s="92"/>
      <c r="O21" s="93"/>
      <c r="P21" s="1"/>
      <c r="Q21" s="91" t="s">
        <v>59</v>
      </c>
      <c r="R21" s="92"/>
      <c r="S21" s="92"/>
      <c r="T21" s="92"/>
      <c r="U21" s="93"/>
    </row>
    <row r="22" spans="1:21" ht="15.75" thickBot="1" x14ac:dyDescent="0.3">
      <c r="A22" s="1"/>
      <c r="B22" s="1"/>
      <c r="C22" s="1"/>
      <c r="D22" s="1"/>
      <c r="E22" s="1"/>
      <c r="F22" s="1"/>
      <c r="G22" s="1"/>
      <c r="H22" s="1"/>
      <c r="I22" s="1"/>
      <c r="J22" s="1"/>
      <c r="K22" s="94" t="s">
        <v>41</v>
      </c>
      <c r="L22" s="95"/>
      <c r="M22" s="95"/>
      <c r="N22" s="95"/>
      <c r="O22" s="16">
        <f>O12*GearEfficency</f>
        <v>1032.0475074609174</v>
      </c>
      <c r="P22" s="1"/>
      <c r="Q22" s="94" t="s">
        <v>41</v>
      </c>
      <c r="R22" s="95"/>
      <c r="S22" s="95"/>
      <c r="T22" s="95"/>
      <c r="U22" s="16">
        <f>O12*GearEfficency/S5</f>
        <v>516.02375373045868</v>
      </c>
    </row>
    <row r="23" spans="1:21" ht="15.75" thickBot="1" x14ac:dyDescent="0.3">
      <c r="A23" s="1"/>
      <c r="B23" s="1"/>
      <c r="C23" s="1"/>
      <c r="D23" s="91" t="s">
        <v>60</v>
      </c>
      <c r="E23" s="92"/>
      <c r="F23" s="92"/>
      <c r="G23" s="92"/>
      <c r="H23" s="93"/>
      <c r="I23" s="1"/>
      <c r="J23" s="1"/>
      <c r="K23" s="82" t="s">
        <v>43</v>
      </c>
      <c r="L23" s="83"/>
      <c r="M23" s="83"/>
      <c r="N23" s="84"/>
      <c r="O23" s="21">
        <f>O14*GearEfficency</f>
        <v>4088.5094109828378</v>
      </c>
      <c r="P23" s="1"/>
      <c r="Q23" s="82" t="s">
        <v>43</v>
      </c>
      <c r="R23" s="83"/>
      <c r="S23" s="83"/>
      <c r="T23" s="84"/>
      <c r="U23" s="21">
        <f>O14*GearEfficency/S5</f>
        <v>2044.2547054914189</v>
      </c>
    </row>
    <row r="24" spans="1:21" ht="15.75" thickBot="1" x14ac:dyDescent="0.3">
      <c r="A24" s="1"/>
      <c r="B24" s="1"/>
      <c r="C24" s="1"/>
      <c r="D24" s="94" t="s">
        <v>61</v>
      </c>
      <c r="E24" s="95"/>
      <c r="F24" s="95"/>
      <c r="G24" s="95"/>
      <c r="H24" s="16">
        <f>((Fdragcont+Froll)*(ContSpeed*0.2777778))/(GearEfficency*MotorEfficiency)</f>
        <v>1278.0774086203312</v>
      </c>
      <c r="I24" s="1"/>
      <c r="J24" s="1"/>
      <c r="K24" s="80" t="s">
        <v>42</v>
      </c>
      <c r="L24" s="81"/>
      <c r="M24" s="81"/>
      <c r="N24" s="81"/>
      <c r="O24" s="22">
        <f>O13*GearEfficency</f>
        <v>1062.290332073434</v>
      </c>
      <c r="P24" s="1"/>
      <c r="Q24" s="80" t="s">
        <v>42</v>
      </c>
      <c r="R24" s="81"/>
      <c r="S24" s="81"/>
      <c r="T24" s="81"/>
      <c r="U24" s="22">
        <f>U13*GearEfficency</f>
        <v>531.145166036717</v>
      </c>
    </row>
    <row r="25" spans="1:21" ht="15.75" thickBot="1" x14ac:dyDescent="0.3">
      <c r="A25" s="1"/>
      <c r="B25" s="1"/>
      <c r="C25" s="1"/>
      <c r="D25" s="96" t="s">
        <v>62</v>
      </c>
      <c r="E25" s="97"/>
      <c r="F25" s="97"/>
      <c r="G25" s="97"/>
      <c r="H25" s="21">
        <f>((Fdragslope+Froll+Fclimb)*(SlopeSpeed*0.2777778))/(GearEfficency*MotorEfficiency)</f>
        <v>1315.5298230011567</v>
      </c>
      <c r="I25" s="1"/>
      <c r="J25" s="1"/>
      <c r="P25" s="1"/>
    </row>
    <row r="26" spans="1:21" ht="15.75" thickBot="1" x14ac:dyDescent="0.3">
      <c r="A26" s="1"/>
      <c r="B26" s="1"/>
      <c r="C26" s="1"/>
      <c r="D26" s="80" t="s">
        <v>63</v>
      </c>
      <c r="E26" s="81"/>
      <c r="F26" s="81"/>
      <c r="G26" s="81"/>
      <c r="H26" s="22">
        <f>H21</f>
        <v>5063.1695492047529</v>
      </c>
      <c r="I26" s="1"/>
      <c r="J26" s="1"/>
      <c r="K26" s="85" t="s">
        <v>64</v>
      </c>
      <c r="L26" s="86"/>
      <c r="M26" s="87"/>
      <c r="N26" s="25" t="s">
        <v>47</v>
      </c>
      <c r="O26" s="26" t="s">
        <v>65</v>
      </c>
      <c r="P26" s="1"/>
      <c r="Q26" s="85" t="s">
        <v>66</v>
      </c>
      <c r="R26" s="86"/>
      <c r="S26" s="87"/>
      <c r="T26" s="25" t="s">
        <v>47</v>
      </c>
      <c r="U26" s="26" t="s">
        <v>65</v>
      </c>
    </row>
    <row r="27" spans="1:21" x14ac:dyDescent="0.25">
      <c r="A27" s="1"/>
      <c r="B27" s="1"/>
      <c r="C27" s="1"/>
      <c r="D27" s="1"/>
      <c r="E27" s="1"/>
      <c r="F27" s="1"/>
      <c r="G27" s="1"/>
      <c r="H27" s="1"/>
      <c r="I27" s="1"/>
      <c r="J27" s="1"/>
      <c r="K27" s="88" t="s">
        <v>67</v>
      </c>
      <c r="L27" s="89"/>
      <c r="M27" s="90"/>
      <c r="N27" s="27">
        <f>ContSpeed/(2*3.1415*WheelRadius*0.001*60)</f>
        <v>474.53678329167371</v>
      </c>
      <c r="O27" s="16">
        <f>(O22*60)/(2*3.1415*N27)</f>
        <v>20.768924040143503</v>
      </c>
      <c r="P27" s="1"/>
      <c r="Q27" s="88" t="s">
        <v>67</v>
      </c>
      <c r="R27" s="89"/>
      <c r="S27" s="90"/>
      <c r="T27" s="27">
        <f>ContSpeed/(2*3.1415*WheelRadius*0.001*60)</f>
        <v>474.53678329167371</v>
      </c>
      <c r="U27" s="16">
        <f>(O22*60)/(2*3.1415*N27*S5)</f>
        <v>10.384462020071751</v>
      </c>
    </row>
    <row r="28" spans="1:21" ht="15.75" thickBot="1" x14ac:dyDescent="0.3">
      <c r="A28" s="1"/>
      <c r="B28" s="1"/>
      <c r="C28" s="1"/>
      <c r="D28" s="1"/>
      <c r="E28" s="1"/>
      <c r="F28" s="1"/>
      <c r="G28" s="1"/>
      <c r="H28" s="1"/>
      <c r="I28" s="1"/>
      <c r="J28" s="1"/>
      <c r="K28" s="82" t="s">
        <v>68</v>
      </c>
      <c r="L28" s="83"/>
      <c r="M28" s="84"/>
      <c r="N28" s="28"/>
      <c r="O28" s="21"/>
      <c r="P28" s="1"/>
      <c r="Q28" s="82" t="s">
        <v>68</v>
      </c>
      <c r="R28" s="83"/>
      <c r="S28" s="84"/>
      <c r="T28" s="28"/>
      <c r="U28" s="21"/>
    </row>
    <row r="29" spans="1:21" ht="15.75" thickBot="1" x14ac:dyDescent="0.3">
      <c r="A29" s="1"/>
      <c r="B29" s="1"/>
      <c r="C29" s="1"/>
      <c r="D29" s="91" t="s">
        <v>69</v>
      </c>
      <c r="E29" s="92"/>
      <c r="F29" s="92"/>
      <c r="G29" s="43" t="s">
        <v>70</v>
      </c>
      <c r="H29" s="1"/>
      <c r="I29" s="1"/>
      <c r="J29" s="1"/>
      <c r="K29" s="80" t="s">
        <v>71</v>
      </c>
      <c r="L29" s="81"/>
      <c r="M29" s="81"/>
      <c r="N29" s="29">
        <f>SlopeSpeed/(2*3.1415*WheelRadius*0.001*60)</f>
        <v>47.453678329167374</v>
      </c>
      <c r="O29" s="22">
        <f>(O24*60)/(2*3.1415*N29)</f>
        <v>213.77530642645786</v>
      </c>
      <c r="P29" s="1"/>
      <c r="Q29" s="80" t="s">
        <v>71</v>
      </c>
      <c r="R29" s="81"/>
      <c r="S29" s="81"/>
      <c r="T29" s="29">
        <f>SlopeSpeed/(2*3.1415*WheelRadius*0.001*60)</f>
        <v>47.453678329167374</v>
      </c>
      <c r="U29" s="22">
        <f>(O24*60)/(2*3.1415*N29*S5)</f>
        <v>106.88765321322893</v>
      </c>
    </row>
    <row r="30" spans="1:21" ht="15.75" thickBot="1" x14ac:dyDescent="0.3">
      <c r="A30" s="1"/>
      <c r="B30" s="1"/>
      <c r="C30" s="1"/>
      <c r="D30" s="101" t="s">
        <v>72</v>
      </c>
      <c r="E30" s="102"/>
      <c r="F30" s="103"/>
      <c r="G30" s="30" t="s">
        <v>73</v>
      </c>
      <c r="H30" s="1"/>
      <c r="I30" s="1"/>
      <c r="J30" s="1"/>
      <c r="K30" s="1"/>
      <c r="L30" s="1"/>
      <c r="M30" s="1"/>
      <c r="N30" s="1"/>
      <c r="O30" s="1"/>
      <c r="P30" s="1"/>
      <c r="Q30" s="1"/>
      <c r="R30" s="1"/>
      <c r="S30" s="1"/>
      <c r="T30" s="1"/>
      <c r="U30" s="1"/>
    </row>
    <row r="31" spans="1:21" ht="15.75" thickBot="1" x14ac:dyDescent="0.3">
      <c r="A31" s="1"/>
      <c r="B31" s="1"/>
      <c r="C31" s="1"/>
      <c r="D31" s="104" t="s">
        <v>74</v>
      </c>
      <c r="E31" s="105"/>
      <c r="F31" s="105"/>
      <c r="G31" s="30">
        <v>24</v>
      </c>
      <c r="H31" s="1"/>
      <c r="I31" s="1"/>
      <c r="J31" s="1"/>
      <c r="K31" s="1"/>
      <c r="L31" s="1"/>
      <c r="M31" s="1"/>
      <c r="N31" s="1"/>
      <c r="O31" s="1"/>
      <c r="P31" s="1"/>
      <c r="Q31" s="85" t="s">
        <v>75</v>
      </c>
      <c r="R31" s="86"/>
      <c r="S31" s="87"/>
      <c r="T31" s="25" t="s">
        <v>76</v>
      </c>
      <c r="U31" s="26" t="s">
        <v>77</v>
      </c>
    </row>
    <row r="32" spans="1:21" ht="15.75" thickBot="1" x14ac:dyDescent="0.3">
      <c r="A32" s="1"/>
      <c r="B32" s="1"/>
      <c r="C32" s="1"/>
      <c r="D32" s="98" t="s">
        <v>78</v>
      </c>
      <c r="E32" s="99"/>
      <c r="F32" s="100"/>
      <c r="G32" s="31">
        <v>6.4999999999999997E-3</v>
      </c>
      <c r="H32" s="1"/>
      <c r="I32" s="1"/>
      <c r="J32" s="1"/>
      <c r="K32" s="1"/>
      <c r="L32" s="1"/>
      <c r="M32" s="1"/>
      <c r="N32" s="1"/>
      <c r="O32" s="1"/>
      <c r="P32" s="1"/>
      <c r="Q32" s="88" t="s">
        <v>79</v>
      </c>
      <c r="R32" s="89"/>
      <c r="S32" s="90"/>
      <c r="T32" s="27">
        <f>R8*H8*9.8</f>
        <v>1029</v>
      </c>
      <c r="U32" s="67" t="s">
        <v>80</v>
      </c>
    </row>
    <row r="33" spans="1:21" ht="15.75" thickBot="1" x14ac:dyDescent="0.3">
      <c r="A33" s="1"/>
      <c r="B33" s="1"/>
      <c r="C33" s="1"/>
      <c r="D33" s="98" t="s">
        <v>81</v>
      </c>
      <c r="E33" s="99"/>
      <c r="F33" s="100"/>
      <c r="G33" s="32">
        <v>1.05</v>
      </c>
      <c r="H33" s="1"/>
      <c r="I33" s="1"/>
      <c r="J33" s="1"/>
      <c r="K33" s="1"/>
      <c r="L33" s="1"/>
      <c r="M33" s="1"/>
      <c r="N33" s="1"/>
      <c r="O33" s="1"/>
      <c r="P33" s="1"/>
      <c r="Q33" s="88" t="s">
        <v>82</v>
      </c>
      <c r="R33" s="89"/>
      <c r="S33" s="90"/>
      <c r="T33" s="27">
        <f>T32/S5</f>
        <v>514.5</v>
      </c>
      <c r="U33" s="67" t="s">
        <v>80</v>
      </c>
    </row>
    <row r="34" spans="1:21" ht="15.75" thickBot="1" x14ac:dyDescent="0.3">
      <c r="A34" s="1"/>
      <c r="B34" s="1"/>
      <c r="C34" s="1"/>
      <c r="D34" s="98" t="s">
        <v>83</v>
      </c>
      <c r="E34" s="99"/>
      <c r="F34" s="100"/>
      <c r="G34" s="31">
        <v>2</v>
      </c>
      <c r="H34" s="1"/>
      <c r="I34" s="1"/>
      <c r="J34" s="1"/>
      <c r="K34" s="1"/>
      <c r="L34" s="1"/>
      <c r="M34" s="1"/>
      <c r="N34" s="1"/>
      <c r="O34" s="1"/>
      <c r="P34" s="1"/>
      <c r="Q34" s="88" t="s">
        <v>84</v>
      </c>
      <c r="R34" s="89"/>
      <c r="S34" s="90"/>
      <c r="T34" s="27">
        <f>S8*Q8/2</f>
        <v>0.15</v>
      </c>
      <c r="U34" s="67" t="s">
        <v>85</v>
      </c>
    </row>
    <row r="35" spans="1:21" ht="15.75" thickBot="1" x14ac:dyDescent="0.3">
      <c r="A35" s="1"/>
      <c r="B35" s="1"/>
      <c r="C35" s="1"/>
      <c r="D35" s="98" t="s">
        <v>86</v>
      </c>
      <c r="E35" s="99"/>
      <c r="F35" s="100"/>
      <c r="G35" s="31">
        <v>100</v>
      </c>
      <c r="H35" s="1"/>
      <c r="I35" s="1"/>
      <c r="J35" s="1"/>
      <c r="K35" s="1"/>
      <c r="L35" s="1"/>
      <c r="M35" s="1"/>
      <c r="N35" s="1"/>
      <c r="O35" s="1"/>
      <c r="P35" s="1"/>
      <c r="Q35" s="88" t="s">
        <v>87</v>
      </c>
      <c r="R35" s="89"/>
      <c r="S35" s="90"/>
      <c r="T35" s="27">
        <f>(R8*H8*9.8*Q8*S8)/4</f>
        <v>77.174999999999997</v>
      </c>
      <c r="U35" s="67" t="s">
        <v>88</v>
      </c>
    </row>
    <row r="36" spans="1:21" ht="16.5" customHeight="1" thickBot="1" x14ac:dyDescent="0.3">
      <c r="A36" s="1"/>
      <c r="B36" s="1"/>
      <c r="C36" s="1"/>
      <c r="D36" s="98" t="s">
        <v>89</v>
      </c>
      <c r="E36" s="99"/>
      <c r="F36" s="100"/>
      <c r="G36" s="21">
        <f>H24/G31</f>
        <v>53.253225359180469</v>
      </c>
      <c r="H36" s="1"/>
      <c r="I36" s="1"/>
      <c r="J36" s="1"/>
      <c r="K36" s="1"/>
      <c r="L36" s="1"/>
      <c r="M36" s="1"/>
      <c r="N36" s="1"/>
      <c r="O36" s="1"/>
      <c r="P36" s="1"/>
      <c r="Q36" s="88" t="s">
        <v>90</v>
      </c>
      <c r="R36" s="89"/>
      <c r="S36" s="90"/>
      <c r="T36" s="27">
        <f>(R8*H8*9.8*Q8*S8)/2</f>
        <v>154.35</v>
      </c>
      <c r="U36" s="67" t="s">
        <v>91</v>
      </c>
    </row>
    <row r="37" spans="1:21" ht="15.75" thickBot="1" x14ac:dyDescent="0.3">
      <c r="A37" s="1"/>
      <c r="B37" s="1"/>
      <c r="C37" s="1"/>
      <c r="D37" s="98" t="s">
        <v>92</v>
      </c>
      <c r="E37" s="99"/>
      <c r="F37" s="100"/>
      <c r="G37" s="21">
        <f>((I8*H24)/(ContSpeed*(G35/100)))</f>
        <v>1789.3083720684635</v>
      </c>
      <c r="H37" s="1"/>
      <c r="I37" s="1"/>
      <c r="J37" s="1"/>
      <c r="K37" s="1"/>
      <c r="L37" s="1"/>
      <c r="M37" s="1"/>
      <c r="N37" s="1"/>
      <c r="O37" s="1"/>
      <c r="P37" s="1"/>
      <c r="Q37" s="88" t="s">
        <v>93</v>
      </c>
      <c r="R37" s="89"/>
      <c r="S37" s="90"/>
      <c r="T37" s="27">
        <f>S8*9.549297</f>
        <v>4.7746484999999996</v>
      </c>
      <c r="U37" s="67" t="s">
        <v>94</v>
      </c>
    </row>
    <row r="38" spans="1:21" ht="15.75" thickBot="1" x14ac:dyDescent="0.3">
      <c r="A38" s="1"/>
      <c r="B38" s="1"/>
      <c r="C38" s="1"/>
      <c r="D38" s="98" t="s">
        <v>95</v>
      </c>
      <c r="E38" s="99"/>
      <c r="F38" s="100"/>
      <c r="G38" s="21">
        <f>G37/G31</f>
        <v>74.554515502852652</v>
      </c>
      <c r="H38" s="1"/>
      <c r="I38" s="1"/>
      <c r="J38" s="1"/>
      <c r="K38" s="1"/>
      <c r="L38" s="1"/>
      <c r="M38" s="1"/>
      <c r="N38" s="1"/>
      <c r="O38" s="1"/>
      <c r="P38" s="1"/>
      <c r="Q38" s="77" t="s">
        <v>96</v>
      </c>
      <c r="R38" s="78"/>
      <c r="S38" s="79"/>
      <c r="T38" s="68">
        <f>S8*57.2958</f>
        <v>28.6479</v>
      </c>
      <c r="U38" s="69" t="s">
        <v>97</v>
      </c>
    </row>
    <row r="39" spans="1:21" ht="15.75" thickBot="1" x14ac:dyDescent="0.3">
      <c r="A39" s="1"/>
      <c r="B39" s="1"/>
      <c r="C39" s="1"/>
      <c r="D39" s="115" t="s">
        <v>98</v>
      </c>
      <c r="E39" s="116"/>
      <c r="F39" s="117"/>
      <c r="G39" s="21">
        <f>(G38*((G36*G34)^(G33-1)))^(1/G33)</f>
        <v>75.831602906097217</v>
      </c>
      <c r="H39" s="1"/>
      <c r="I39" s="1"/>
      <c r="J39" s="1"/>
      <c r="K39" s="1"/>
      <c r="L39" s="1"/>
      <c r="M39" s="1"/>
      <c r="N39" s="1"/>
      <c r="O39" s="1"/>
      <c r="P39" s="1"/>
      <c r="Q39" s="77" t="s">
        <v>99</v>
      </c>
      <c r="R39" s="78"/>
      <c r="S39" s="79"/>
      <c r="T39" s="68">
        <f>T32*WheelRadius</f>
        <v>287.60550000000001</v>
      </c>
      <c r="U39" s="69" t="s">
        <v>100</v>
      </c>
    </row>
    <row r="40" spans="1:21" ht="15.75" thickBot="1" x14ac:dyDescent="0.3">
      <c r="A40" s="1"/>
      <c r="B40" s="1"/>
      <c r="C40" s="1"/>
      <c r="D40" s="98" t="s">
        <v>101</v>
      </c>
      <c r="E40" s="99"/>
      <c r="F40" s="100"/>
      <c r="G40" s="21">
        <f>G31*G39</f>
        <v>1819.9584697463333</v>
      </c>
      <c r="H40" s="1"/>
      <c r="I40" s="1"/>
      <c r="J40" s="1"/>
      <c r="K40" s="1"/>
      <c r="L40" s="1"/>
      <c r="M40" s="1"/>
      <c r="N40" s="1"/>
      <c r="O40" s="1"/>
      <c r="P40" s="1"/>
      <c r="Q40" s="77" t="s">
        <v>102</v>
      </c>
      <c r="R40" s="78"/>
      <c r="S40" s="79"/>
      <c r="T40" s="70">
        <f>T39/GearRatio</f>
        <v>55.086286152078145</v>
      </c>
      <c r="U40" s="69" t="s">
        <v>100</v>
      </c>
    </row>
    <row r="41" spans="1:21" ht="15.75" thickBot="1" x14ac:dyDescent="0.3">
      <c r="A41" s="1"/>
      <c r="B41" s="1"/>
      <c r="C41" s="1"/>
      <c r="D41" s="112" t="s">
        <v>25</v>
      </c>
      <c r="E41" s="113"/>
      <c r="F41" s="114"/>
      <c r="G41" s="22">
        <f>G40*G32</f>
        <v>11.829730053351167</v>
      </c>
      <c r="H41" s="1"/>
      <c r="I41" s="1"/>
      <c r="J41" s="1"/>
      <c r="K41" s="1"/>
      <c r="L41" s="1"/>
      <c r="M41" s="1"/>
      <c r="N41" s="1"/>
      <c r="O41" s="1"/>
      <c r="P41" s="1"/>
      <c r="Q41" s="77" t="s">
        <v>103</v>
      </c>
      <c r="R41" s="78"/>
      <c r="S41" s="79"/>
      <c r="T41" s="70">
        <f>T40/S5</f>
        <v>27.543143076039073</v>
      </c>
      <c r="U41" s="69" t="s">
        <v>100</v>
      </c>
    </row>
    <row r="42" spans="1:21" x14ac:dyDescent="0.25">
      <c r="A42" s="1"/>
      <c r="B42" s="1"/>
      <c r="C42" s="1"/>
      <c r="D42" s="1"/>
      <c r="E42" s="1"/>
      <c r="F42" s="1"/>
      <c r="G42" s="1"/>
      <c r="H42" s="1"/>
      <c r="I42" s="1"/>
      <c r="J42" s="1"/>
      <c r="K42" s="1"/>
      <c r="L42" s="1"/>
      <c r="M42" s="1"/>
      <c r="N42" s="1"/>
      <c r="O42" s="1"/>
      <c r="P42" s="1"/>
      <c r="Q42" s="1"/>
      <c r="R42" s="1"/>
      <c r="S42" s="1"/>
      <c r="T42" s="1"/>
      <c r="U42" s="1"/>
    </row>
    <row r="43" spans="1:21" x14ac:dyDescent="0.25">
      <c r="A43" s="1"/>
      <c r="B43" s="1"/>
      <c r="C43" s="1"/>
      <c r="D43" s="1"/>
      <c r="E43" s="1"/>
      <c r="F43" s="1"/>
      <c r="G43" s="1"/>
      <c r="H43" s="1"/>
      <c r="I43" s="1"/>
      <c r="J43" s="1"/>
      <c r="K43" s="1"/>
      <c r="L43" s="1"/>
      <c r="M43" s="1"/>
      <c r="N43" s="1"/>
      <c r="O43" s="1"/>
      <c r="P43" s="1"/>
      <c r="Q43" s="1"/>
      <c r="R43" s="1"/>
      <c r="S43" s="1"/>
      <c r="T43" s="1"/>
      <c r="U43" s="1"/>
    </row>
    <row r="44" spans="1:21" ht="15.75" thickBot="1" x14ac:dyDescent="0.3">
      <c r="A44" s="1"/>
      <c r="B44" s="1"/>
      <c r="C44" s="1"/>
      <c r="D44" s="1"/>
      <c r="E44" s="1"/>
      <c r="F44" s="1"/>
      <c r="G44" s="1"/>
      <c r="H44" s="1"/>
      <c r="I44" s="1"/>
      <c r="J44" s="1"/>
      <c r="K44" s="1"/>
      <c r="L44" s="1"/>
      <c r="M44" s="1"/>
      <c r="N44" s="1"/>
      <c r="O44" s="1"/>
      <c r="P44" s="1"/>
      <c r="Q44" s="1"/>
      <c r="R44" s="1"/>
      <c r="S44" s="1"/>
      <c r="T44" s="1"/>
      <c r="U44" s="1"/>
    </row>
    <row r="45" spans="1:21" ht="15.75" thickBot="1" x14ac:dyDescent="0.3">
      <c r="A45" s="1"/>
      <c r="E45" s="109" t="s">
        <v>104</v>
      </c>
      <c r="F45" s="110"/>
      <c r="G45" s="110"/>
      <c r="H45" s="110"/>
      <c r="I45" s="110"/>
      <c r="J45" s="110"/>
      <c r="K45" s="110"/>
      <c r="L45" s="110"/>
      <c r="M45" s="110"/>
      <c r="N45" s="110"/>
      <c r="O45" s="110"/>
      <c r="P45" s="110"/>
      <c r="Q45" s="110"/>
      <c r="R45" s="111"/>
      <c r="S45" s="1"/>
      <c r="T45" s="1"/>
      <c r="U45" s="1"/>
    </row>
    <row r="46" spans="1:21" ht="45" x14ac:dyDescent="0.25">
      <c r="A46" s="1"/>
      <c r="E46" s="50" t="s">
        <v>105</v>
      </c>
      <c r="F46" s="51" t="s">
        <v>106</v>
      </c>
      <c r="G46" s="51" t="s">
        <v>107</v>
      </c>
      <c r="H46" s="51" t="s">
        <v>108</v>
      </c>
      <c r="I46" s="52" t="s">
        <v>109</v>
      </c>
      <c r="J46" s="52" t="s">
        <v>110</v>
      </c>
      <c r="K46" s="52" t="s">
        <v>111</v>
      </c>
      <c r="L46" s="52" t="s">
        <v>112</v>
      </c>
      <c r="M46" s="53" t="s">
        <v>60</v>
      </c>
      <c r="N46" s="53" t="s">
        <v>113</v>
      </c>
      <c r="O46" s="53" t="s">
        <v>114</v>
      </c>
      <c r="P46" s="53" t="s">
        <v>115</v>
      </c>
      <c r="Q46" s="53" t="s">
        <v>116</v>
      </c>
      <c r="R46" s="54" t="s">
        <v>117</v>
      </c>
      <c r="S46" s="1"/>
      <c r="T46" s="1"/>
      <c r="U46" s="1"/>
    </row>
    <row r="47" spans="1:21" x14ac:dyDescent="0.25">
      <c r="A47" s="1"/>
      <c r="E47" s="33" t="s">
        <v>118</v>
      </c>
      <c r="F47" s="34">
        <f>ContSpeed</f>
        <v>50</v>
      </c>
      <c r="G47" s="35">
        <v>0.35</v>
      </c>
      <c r="H47" s="55">
        <v>0</v>
      </c>
      <c r="I47" s="36">
        <f>Range*G47</f>
        <v>24.5</v>
      </c>
      <c r="J47" s="28">
        <f>(KerbWeight+LoadWeight)*9.8*SIN(H47*0.01745329)</f>
        <v>0</v>
      </c>
      <c r="K47" s="28">
        <f>Cd*Density*Area*F47*F47*0.03858025308642</f>
        <v>44.907414592592879</v>
      </c>
      <c r="L47" s="28">
        <f>Cr*(KerbWeight+LoadWeight)*9.8</f>
        <v>29.400000000000002</v>
      </c>
      <c r="M47" s="28">
        <f>((K47+L47+J47)*(F47*0.2777778))/(GearEfficency*MotorEfficiency)</f>
        <v>1278.0774086203312</v>
      </c>
      <c r="N47" s="28">
        <f>((K47+L47+J47)*(F47*0.2777778))/(GearEfficency)</f>
        <v>1086.3657973272814</v>
      </c>
      <c r="O47" s="28">
        <f>M47/G31</f>
        <v>53.253225359180469</v>
      </c>
      <c r="P47" s="28">
        <f>((I47*M47)/(F47*(DOD/100)))</f>
        <v>626.25793022396238</v>
      </c>
      <c r="Q47" s="28">
        <f>P47/BatteryVoltage</f>
        <v>26.094080425998431</v>
      </c>
      <c r="R47" s="21">
        <f>(Q47*((ConstantCurrent*BatteryCrating)^(PeukertCoeff-1)))^(1/PeukertCoeff)</f>
        <v>27.901613979484804</v>
      </c>
      <c r="S47" s="1"/>
      <c r="T47" s="1"/>
      <c r="U47" s="1"/>
    </row>
    <row r="48" spans="1:21" x14ac:dyDescent="0.25">
      <c r="A48" s="1"/>
      <c r="E48" s="33" t="s">
        <v>119</v>
      </c>
      <c r="F48" s="34">
        <v>35</v>
      </c>
      <c r="G48" s="35">
        <v>0.4</v>
      </c>
      <c r="H48" s="55">
        <v>0</v>
      </c>
      <c r="I48" s="36">
        <f>Range*G48</f>
        <v>28</v>
      </c>
      <c r="J48" s="28">
        <f>(KerbWeight+LoadWeight)*9.8*SIN(H48*0.01745329)</f>
        <v>0</v>
      </c>
      <c r="K48" s="28">
        <f>Cd*Density*Area*F48*F48*0.03858025308642</f>
        <v>22.004633150370509</v>
      </c>
      <c r="L48" s="28">
        <f>Cr*(KerbWeight+LoadWeight)*9.8</f>
        <v>29.400000000000002</v>
      </c>
      <c r="M48" s="28">
        <f>((K48+L48+J48)*(F48*0.2777778))/(GearEfficency*MotorEfficiency)</f>
        <v>618.90688138835264</v>
      </c>
      <c r="N48" s="28">
        <f>((K48+L48+J48)*(F48*0.2777778))/(GearEfficency)</f>
        <v>526.0708491800998</v>
      </c>
      <c r="O48" s="28">
        <f>M48/G31</f>
        <v>25.787786724514692</v>
      </c>
      <c r="P48" s="28">
        <f>((I48*M48)/(F48*(DOD/100)))</f>
        <v>495.12550511068213</v>
      </c>
      <c r="Q48" s="28">
        <f>P48/BatteryVoltage</f>
        <v>20.630229379611755</v>
      </c>
      <c r="R48" s="21">
        <f>(Q48*((ConstantCurrent*BatteryCrating)^(PeukertCoeff-1)))^(1/PeukertCoeff)</f>
        <v>22.307470923825843</v>
      </c>
      <c r="S48" s="1"/>
      <c r="T48" s="1"/>
      <c r="U48" s="1"/>
    </row>
    <row r="49" spans="1:21" x14ac:dyDescent="0.25">
      <c r="A49" s="1"/>
      <c r="E49" s="44" t="s">
        <v>120</v>
      </c>
      <c r="F49" s="45">
        <v>25</v>
      </c>
      <c r="G49" s="46">
        <v>0.2</v>
      </c>
      <c r="H49" s="56">
        <v>0</v>
      </c>
      <c r="I49" s="47">
        <f>Range*G49</f>
        <v>14</v>
      </c>
      <c r="J49" s="28">
        <f>(KerbWeight+LoadWeight)*9.8*SIN(H49*0.01745329)</f>
        <v>0</v>
      </c>
      <c r="K49" s="48">
        <f>Cd*Density*Area*F49*F49*0.03858025308642</f>
        <v>11.22685364814822</v>
      </c>
      <c r="L49" s="48">
        <f>Cr*(KerbWeight+LoadWeight)*9.8</f>
        <v>29.400000000000002</v>
      </c>
      <c r="M49" s="28">
        <f>((K49+L49+J49)*(F49*0.2777778))/(GearEfficency*MotorEfficiency)</f>
        <v>349.38817421995628</v>
      </c>
      <c r="N49" s="28">
        <f>((K49+L49+J49)*(F49*0.2777778))/(GearEfficency)</f>
        <v>296.97994808696285</v>
      </c>
      <c r="O49" s="48">
        <f>M49/G31</f>
        <v>14.557840592498179</v>
      </c>
      <c r="P49" s="48">
        <f>((I49*M49)/(F49*(DOD/100)))</f>
        <v>195.65737756317552</v>
      </c>
      <c r="Q49" s="48">
        <f>P49/BatteryVoltage</f>
        <v>8.1523907317989792</v>
      </c>
      <c r="R49" s="49">
        <f>(Q49*((ConstantCurrent*BatteryCrating)^(PeukertCoeff-1)))^(1/PeukertCoeff)</f>
        <v>9.2136598200843949</v>
      </c>
      <c r="S49" s="1"/>
      <c r="T49" s="1"/>
      <c r="U49" s="1"/>
    </row>
    <row r="50" spans="1:21" ht="15.75" thickBot="1" x14ac:dyDescent="0.3">
      <c r="A50" s="1"/>
      <c r="E50" s="37" t="s">
        <v>120</v>
      </c>
      <c r="F50" s="38">
        <v>5</v>
      </c>
      <c r="G50" s="39">
        <v>0.05</v>
      </c>
      <c r="H50" s="57">
        <v>30</v>
      </c>
      <c r="I50" s="40">
        <f>Range*G50</f>
        <v>3.5</v>
      </c>
      <c r="J50" s="29">
        <f>(KerbWeight+LoadWeight)*9.8*SIN(H50*0.01745329)</f>
        <v>734.99990375902826</v>
      </c>
      <c r="K50" s="58">
        <f>Cd*Density*Area*F50*F50*0.03858025308642</f>
        <v>0.44907414592592881</v>
      </c>
      <c r="L50" s="29">
        <f>Cr*(KerbWeight+LoadWeight)*9.8</f>
        <v>29.400000000000002</v>
      </c>
      <c r="M50" s="29">
        <f>((K50+L50+J50)*(F50*0.2777778))/(GearEfficency*MotorEfficiency)</f>
        <v>1315.5298230011567</v>
      </c>
      <c r="N50" s="29">
        <f>((K50+L50+J50)*(F50*0.2777778))/(GearEfficency)</f>
        <v>1118.2003495509832</v>
      </c>
      <c r="O50" s="29">
        <f>M50/G31</f>
        <v>54.813742625048199</v>
      </c>
      <c r="P50" s="29">
        <f>((I50*M50)/(F50*(DOD/100)))</f>
        <v>920.8708761008096</v>
      </c>
      <c r="Q50" s="29">
        <f>P50/BatteryVoltage</f>
        <v>38.369619837533733</v>
      </c>
      <c r="R50" s="22">
        <f>(Q50*((ConstantCurrent*BatteryCrating)^(PeukertCoeff-1)))^(1/PeukertCoeff)</f>
        <v>40.281091519705932</v>
      </c>
      <c r="S50" s="1"/>
      <c r="T50" s="1"/>
      <c r="U50" s="1"/>
    </row>
    <row r="51" spans="1:21" ht="17.25" customHeight="1" thickBot="1" x14ac:dyDescent="0.3">
      <c r="A51" s="1"/>
      <c r="E51" s="1"/>
      <c r="F51" s="1"/>
      <c r="G51" s="1"/>
      <c r="H51" s="1"/>
      <c r="I51" s="1"/>
      <c r="J51" s="1"/>
      <c r="K51" s="1"/>
      <c r="L51" s="1"/>
      <c r="M51" s="1"/>
      <c r="N51" s="12"/>
      <c r="O51" s="106" t="s">
        <v>121</v>
      </c>
      <c r="P51" s="107"/>
      <c r="Q51" s="108"/>
      <c r="R51" s="41">
        <f>SUM(R47:R50)</f>
        <v>99.703836243100966</v>
      </c>
      <c r="S51" s="1"/>
      <c r="T51" s="1"/>
      <c r="U51" s="1"/>
    </row>
    <row r="52" spans="1:21" ht="18" customHeight="1" thickBot="1" x14ac:dyDescent="0.3">
      <c r="A52" s="1"/>
      <c r="E52" s="1"/>
      <c r="F52" s="1"/>
      <c r="G52" s="1"/>
      <c r="H52" s="1"/>
      <c r="I52" s="1"/>
      <c r="J52" s="1"/>
      <c r="K52" s="1"/>
      <c r="L52" s="1"/>
      <c r="M52" s="1"/>
      <c r="N52" s="1"/>
      <c r="O52" s="106" t="s">
        <v>122</v>
      </c>
      <c r="P52" s="107"/>
      <c r="Q52" s="108"/>
      <c r="R52" s="41">
        <f>Range</f>
        <v>70</v>
      </c>
      <c r="S52" s="1"/>
      <c r="T52" s="1"/>
      <c r="U52" s="1"/>
    </row>
    <row r="53" spans="1:21" x14ac:dyDescent="0.25">
      <c r="A53" s="1"/>
      <c r="B53" s="1"/>
      <c r="C53" s="1"/>
      <c r="D53" s="1"/>
      <c r="E53" s="1"/>
      <c r="F53" s="1"/>
      <c r="G53" s="1"/>
      <c r="H53" s="1"/>
      <c r="I53" s="1"/>
      <c r="J53" s="1"/>
      <c r="K53" s="1"/>
      <c r="L53" s="1"/>
      <c r="M53" s="1"/>
      <c r="N53" s="1"/>
      <c r="O53" s="1"/>
      <c r="P53" s="1"/>
      <c r="Q53" s="1"/>
      <c r="R53" s="1"/>
      <c r="S53" s="1"/>
      <c r="T53" s="1"/>
      <c r="U53" s="1"/>
    </row>
    <row r="54" spans="1:21" x14ac:dyDescent="0.25">
      <c r="A54" s="1"/>
      <c r="B54" s="1"/>
      <c r="C54" s="1"/>
      <c r="D54" s="1"/>
      <c r="E54" s="1"/>
      <c r="F54" s="1"/>
      <c r="G54" s="1"/>
      <c r="H54" s="1"/>
      <c r="I54" s="1"/>
      <c r="J54" s="1"/>
      <c r="K54" s="1"/>
      <c r="L54" s="1"/>
      <c r="M54" s="1"/>
      <c r="N54" s="1"/>
      <c r="O54" s="1"/>
      <c r="P54" s="1"/>
      <c r="Q54" s="1"/>
      <c r="R54" s="1"/>
      <c r="S54" s="1"/>
      <c r="T54" s="1"/>
      <c r="U54" s="1"/>
    </row>
    <row r="55" spans="1:21" x14ac:dyDescent="0.25">
      <c r="A55" s="1"/>
      <c r="B55" s="1"/>
      <c r="C55" s="1"/>
      <c r="D55" s="1"/>
      <c r="E55" s="1"/>
      <c r="F55" s="1"/>
      <c r="G55" s="1"/>
      <c r="H55" s="1"/>
      <c r="I55" s="1"/>
      <c r="J55" s="1"/>
      <c r="K55" s="1"/>
      <c r="L55" s="1"/>
      <c r="M55" s="1"/>
      <c r="N55" s="1"/>
      <c r="O55" s="1"/>
      <c r="P55" s="1"/>
      <c r="Q55" s="1"/>
      <c r="R55" s="1"/>
      <c r="S55" s="1"/>
      <c r="T55" s="1"/>
      <c r="U55" s="1"/>
    </row>
    <row r="56" spans="1:21" x14ac:dyDescent="0.25">
      <c r="A56" s="1"/>
      <c r="B56" s="1"/>
      <c r="C56" s="1"/>
      <c r="D56" s="1"/>
      <c r="E56" s="1"/>
      <c r="F56" s="1"/>
      <c r="G56" s="1"/>
      <c r="H56" s="1"/>
      <c r="I56" s="1"/>
      <c r="J56" s="1"/>
      <c r="K56" s="1"/>
      <c r="L56" s="1"/>
      <c r="M56" s="1"/>
      <c r="N56" s="1"/>
      <c r="O56" s="1"/>
      <c r="P56" s="1"/>
      <c r="Q56" s="1"/>
      <c r="R56" s="1"/>
      <c r="S56" s="1"/>
      <c r="T56" s="1"/>
      <c r="U56" s="1"/>
    </row>
    <row r="57" spans="1:21" x14ac:dyDescent="0.25">
      <c r="A57" s="1"/>
      <c r="B57" s="1"/>
      <c r="C57" s="1"/>
      <c r="D57" s="1"/>
      <c r="E57" s="1"/>
      <c r="F57" s="1"/>
      <c r="G57" s="1"/>
      <c r="H57" s="1"/>
      <c r="I57" s="1"/>
      <c r="J57" s="1"/>
      <c r="K57" s="1"/>
      <c r="L57" s="1"/>
      <c r="M57" s="1"/>
      <c r="N57" s="1"/>
      <c r="O57" s="1"/>
      <c r="P57" s="1"/>
      <c r="Q57" s="1"/>
      <c r="R57" s="1"/>
      <c r="S57" s="1"/>
      <c r="T57" s="1"/>
      <c r="U57" s="1"/>
    </row>
    <row r="58" spans="1:21" x14ac:dyDescent="0.25">
      <c r="A58" s="1"/>
      <c r="B58" s="1"/>
      <c r="C58" s="1"/>
      <c r="D58" s="1"/>
      <c r="E58" s="1"/>
      <c r="F58" s="1"/>
      <c r="G58" s="1"/>
      <c r="H58" s="1"/>
      <c r="I58" s="1"/>
      <c r="J58" s="1"/>
      <c r="K58" s="1"/>
      <c r="L58" s="1"/>
      <c r="M58" s="1"/>
      <c r="N58" s="1"/>
      <c r="O58" s="1"/>
      <c r="P58" s="1"/>
      <c r="Q58" s="1"/>
      <c r="R58" s="1"/>
      <c r="S58" s="1"/>
      <c r="T58" s="1"/>
      <c r="U58" s="1"/>
    </row>
    <row r="59" spans="1:21" x14ac:dyDescent="0.25">
      <c r="A59" s="1"/>
      <c r="B59" s="1"/>
      <c r="C59" s="1"/>
      <c r="D59" s="1"/>
      <c r="E59" s="1"/>
      <c r="F59" s="1"/>
      <c r="G59" s="1"/>
      <c r="H59" s="1"/>
      <c r="I59" s="1"/>
      <c r="J59" s="1"/>
      <c r="K59" s="1"/>
      <c r="L59" s="1"/>
      <c r="M59" s="1"/>
      <c r="N59" s="1"/>
      <c r="O59" s="1"/>
      <c r="P59" s="1"/>
      <c r="Q59" s="1"/>
      <c r="R59" s="1"/>
      <c r="S59" s="1"/>
      <c r="T59" s="1"/>
      <c r="U59" s="1"/>
    </row>
    <row r="60" spans="1:21" x14ac:dyDescent="0.25">
      <c r="A60" s="1"/>
      <c r="B60" s="1"/>
      <c r="C60" s="1"/>
      <c r="D60" s="1"/>
      <c r="E60" s="1"/>
      <c r="F60" s="1"/>
      <c r="G60" s="1"/>
      <c r="H60" s="1"/>
      <c r="I60" s="1"/>
      <c r="J60" s="1"/>
      <c r="K60" s="1"/>
      <c r="L60" s="1"/>
      <c r="M60" s="1"/>
      <c r="N60" s="1"/>
      <c r="O60" s="1"/>
      <c r="P60" s="1"/>
      <c r="Q60" s="1"/>
      <c r="R60" s="1"/>
      <c r="S60" s="1"/>
      <c r="T60" s="1"/>
      <c r="U60" s="1"/>
    </row>
    <row r="61" spans="1:21" x14ac:dyDescent="0.25">
      <c r="P61" s="1"/>
      <c r="Q61" s="1"/>
      <c r="R61" s="1"/>
      <c r="S61" s="1"/>
      <c r="T61" s="1"/>
      <c r="U61" s="1"/>
    </row>
    <row r="62" spans="1:21" x14ac:dyDescent="0.25">
      <c r="Q62" s="1"/>
      <c r="R62" s="1"/>
      <c r="S62" s="1"/>
      <c r="T62" s="1"/>
      <c r="U62" s="1"/>
    </row>
    <row r="67" spans="12:14" ht="15" customHeight="1" x14ac:dyDescent="0.25"/>
    <row r="68" spans="12:14" ht="15" customHeight="1" x14ac:dyDescent="0.25"/>
    <row r="70" spans="12:14" ht="54.75" customHeight="1" x14ac:dyDescent="0.25">
      <c r="L70" s="42"/>
      <c r="M70" s="42"/>
      <c r="N70" s="42"/>
    </row>
  </sheetData>
  <mergeCells count="70">
    <mergeCell ref="O51:Q51"/>
    <mergeCell ref="O52:Q52"/>
    <mergeCell ref="E45:R45"/>
    <mergeCell ref="Q32:S32"/>
    <mergeCell ref="Q33:S33"/>
    <mergeCell ref="Q34:S34"/>
    <mergeCell ref="Q35:S35"/>
    <mergeCell ref="Q36:S36"/>
    <mergeCell ref="Q37:S37"/>
    <mergeCell ref="Q38:S38"/>
    <mergeCell ref="D41:F41"/>
    <mergeCell ref="D36:F36"/>
    <mergeCell ref="D37:F37"/>
    <mergeCell ref="D34:F34"/>
    <mergeCell ref="D38:F38"/>
    <mergeCell ref="D39:F39"/>
    <mergeCell ref="K23:N23"/>
    <mergeCell ref="K24:N24"/>
    <mergeCell ref="D33:F33"/>
    <mergeCell ref="K26:M26"/>
    <mergeCell ref="D32:F32"/>
    <mergeCell ref="D26:G26"/>
    <mergeCell ref="D29:F29"/>
    <mergeCell ref="D30:F30"/>
    <mergeCell ref="D31:F31"/>
    <mergeCell ref="K28:M28"/>
    <mergeCell ref="K29:M29"/>
    <mergeCell ref="D40:F40"/>
    <mergeCell ref="D23:H23"/>
    <mergeCell ref="K17:M17"/>
    <mergeCell ref="D24:G24"/>
    <mergeCell ref="K18:M18"/>
    <mergeCell ref="D25:G25"/>
    <mergeCell ref="K19:M19"/>
    <mergeCell ref="D17:G17"/>
    <mergeCell ref="D18:G18"/>
    <mergeCell ref="D19:G19"/>
    <mergeCell ref="D20:G20"/>
    <mergeCell ref="D21:G21"/>
    <mergeCell ref="K27:M27"/>
    <mergeCell ref="K21:O21"/>
    <mergeCell ref="K22:N22"/>
    <mergeCell ref="D35:F35"/>
    <mergeCell ref="D15:H15"/>
    <mergeCell ref="D16:G16"/>
    <mergeCell ref="K16:M16"/>
    <mergeCell ref="K11:O11"/>
    <mergeCell ref="K12:N12"/>
    <mergeCell ref="K13:N13"/>
    <mergeCell ref="K14:N14"/>
    <mergeCell ref="Q11:U11"/>
    <mergeCell ref="Q12:T12"/>
    <mergeCell ref="Q13:T13"/>
    <mergeCell ref="Q14:T14"/>
    <mergeCell ref="Q16:S16"/>
    <mergeCell ref="Q17:S17"/>
    <mergeCell ref="Q18:S18"/>
    <mergeCell ref="Q19:S19"/>
    <mergeCell ref="Q21:U21"/>
    <mergeCell ref="Q22:T22"/>
    <mergeCell ref="Q39:S39"/>
    <mergeCell ref="Q40:S40"/>
    <mergeCell ref="Q41:S41"/>
    <mergeCell ref="Q29:S29"/>
    <mergeCell ref="Q23:T23"/>
    <mergeCell ref="Q24:T24"/>
    <mergeCell ref="Q26:S26"/>
    <mergeCell ref="Q27:S27"/>
    <mergeCell ref="Q28:S28"/>
    <mergeCell ref="Q31:S31"/>
  </mergeCells>
  <dataValidations count="2">
    <dataValidation type="list" allowBlank="1" showInputMessage="1" showErrorMessage="1" promptTitle="Gear Ratio" prompt="Select the gear Ratio" sqref="WVQ983044 JE5 TA5 ACW5 AMS5 AWO5 BGK5 BQG5 CAC5 CJY5 CTU5 DDQ5 DNM5 DXI5 EHE5 ERA5 FAW5 FKS5 FUO5 GEK5 GOG5 GYC5 HHY5 HRU5 IBQ5 ILM5 IVI5 JFE5 JPA5 JYW5 KIS5 KSO5 LCK5 LMG5 LWC5 MFY5 MPU5 MZQ5 NJM5 NTI5 ODE5 ONA5 OWW5 PGS5 PQO5 QAK5 QKG5 QUC5 RDY5 RNU5 RXQ5 SHM5 SRI5 TBE5 TLA5 TUW5 UES5 UOO5 UYK5 VIG5 VSC5 WBY5 WLU5 WVQ5 I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I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I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I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I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I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I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I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I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I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I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I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I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I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I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xr:uid="{97B513E8-B9DF-477C-8DCA-6BD911D2928F}">
      <formula1>"12.315, 10, 16, 12,1"</formula1>
    </dataValidation>
    <dataValidation type="list" allowBlank="1" showInputMessage="1" showErrorMessage="1" promptTitle="Gear Ratio" prompt="Select the gear Ratio" sqref="I5" xr:uid="{FDA7212D-82E7-4EEB-986E-F0D11282AB9D}">
      <formula1>"12.315, 10, 16, 12,1,5.221"</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78AEF-74DC-4B18-9558-F393DF0BB6B8}">
  <dimension ref="A1:U182"/>
  <sheetViews>
    <sheetView tabSelected="1" zoomScale="79" zoomScaleNormal="70" workbookViewId="0">
      <selection activeCell="Z18" sqref="Z18"/>
    </sheetView>
  </sheetViews>
  <sheetFormatPr defaultRowHeight="15" x14ac:dyDescent="0.25"/>
  <cols>
    <col min="9" max="10" width="10.28515625" customWidth="1"/>
    <col min="11" max="11" width="14.28515625" customWidth="1"/>
    <col min="15" max="16" width="11.28515625" customWidth="1"/>
    <col min="17" max="17" width="11.7109375" customWidth="1"/>
    <col min="19" max="19" width="12.85546875" customWidth="1"/>
    <col min="20" max="20" width="13.140625" customWidth="1"/>
    <col min="21" max="21" width="16.140625" customWidth="1"/>
  </cols>
  <sheetData>
    <row r="1" spans="1:21" s="59" customFormat="1" ht="75" x14ac:dyDescent="0.25">
      <c r="A1" s="59" t="s">
        <v>123</v>
      </c>
      <c r="B1" s="59" t="s">
        <v>124</v>
      </c>
      <c r="C1" s="59" t="s">
        <v>125</v>
      </c>
      <c r="D1" s="59" t="s">
        <v>126</v>
      </c>
      <c r="E1" s="59" t="s">
        <v>108</v>
      </c>
      <c r="F1" s="59" t="s">
        <v>127</v>
      </c>
      <c r="G1" s="59" t="s">
        <v>128</v>
      </c>
      <c r="H1" s="59" t="s">
        <v>129</v>
      </c>
      <c r="I1" s="59" t="s">
        <v>130</v>
      </c>
      <c r="J1" s="59" t="s">
        <v>131</v>
      </c>
      <c r="K1" s="59" t="s">
        <v>132</v>
      </c>
      <c r="L1" s="59" t="s">
        <v>133</v>
      </c>
      <c r="M1" s="59" t="s">
        <v>134</v>
      </c>
      <c r="N1" s="59" t="s">
        <v>135</v>
      </c>
      <c r="O1" s="59" t="s">
        <v>136</v>
      </c>
      <c r="P1" s="59" t="s">
        <v>137</v>
      </c>
      <c r="Q1" s="59" t="s">
        <v>138</v>
      </c>
    </row>
    <row r="2" spans="1:21" x14ac:dyDescent="0.25">
      <c r="A2">
        <v>0</v>
      </c>
      <c r="B2" s="60">
        <v>0</v>
      </c>
      <c r="C2">
        <f>B2*3.6</f>
        <v>0</v>
      </c>
      <c r="D2">
        <f t="shared" ref="D2:D33" si="0">(C2*GearRatio)/(2*PI()*WheelRadius*0.001*60)</f>
        <v>0</v>
      </c>
      <c r="E2">
        <v>0</v>
      </c>
      <c r="F2">
        <v>2</v>
      </c>
      <c r="G2" s="60">
        <f>(IF((F2=2),(IF((D2&lt;500),(37),((2000*60)/(2*PI()*D2)))),(IF((D2&lt;500),(19),((1000*60)/(2*PI()*D2))))))*2</f>
        <v>74</v>
      </c>
      <c r="H2">
        <v>2</v>
      </c>
      <c r="I2" s="60">
        <f>G2/H2</f>
        <v>37</v>
      </c>
      <c r="J2" s="60">
        <f>(2*PI()*D2*I2)/60</f>
        <v>0</v>
      </c>
      <c r="K2" s="61">
        <f t="shared" ref="K2:K33" si="1">(G2*GearRatio*GearEfficency)/WheelRadius</f>
        <v>1313.1889087656527</v>
      </c>
      <c r="L2">
        <f t="shared" ref="L2:L33" si="2">Froll</f>
        <v>29.400000000000002</v>
      </c>
      <c r="M2" s="60">
        <f t="shared" ref="M2:M33" si="3">Cd*Density*Area*C2*C2*0.03858025308642</f>
        <v>0</v>
      </c>
      <c r="N2">
        <f t="shared" ref="N2:N33" si="4">(KerbWeight+LoadWeight)*9.8*SIN(E2*0.01745329)</f>
        <v>0</v>
      </c>
      <c r="O2" s="60">
        <f>L2+M2+N2</f>
        <v>29.400000000000002</v>
      </c>
      <c r="P2" s="60">
        <f>K2-O2</f>
        <v>1283.7889087656526</v>
      </c>
      <c r="Q2" s="60">
        <f t="shared" ref="Q2:Q33" si="5">P2/(KerbWeight+LoadWeight)</f>
        <v>8.5585927251043508</v>
      </c>
      <c r="T2" t="s">
        <v>139</v>
      </c>
    </row>
    <row r="3" spans="1:21" x14ac:dyDescent="0.25">
      <c r="A3">
        <f>A2+0.5</f>
        <v>0.5</v>
      </c>
      <c r="B3" s="60">
        <f>B2+(Q2*(A3-A2))</f>
        <v>4.2792963625521754</v>
      </c>
      <c r="C3" s="62">
        <f>B3*3.6</f>
        <v>15.405466905187831</v>
      </c>
      <c r="D3">
        <f t="shared" si="0"/>
        <v>763.33579398310462</v>
      </c>
      <c r="E3">
        <f>E2</f>
        <v>0</v>
      </c>
      <c r="F3">
        <f>F2</f>
        <v>2</v>
      </c>
      <c r="G3" s="60">
        <f t="shared" ref="G3:G66" si="6">(IF((F3=2),(IF((D3&lt;500),(37),((2000*60)/(2*PI()*D3)))),(IF((D3&lt;500),(19),((1000*60)/(2*PI()*D3))))))*2</f>
        <v>50.039820801198168</v>
      </c>
      <c r="H3">
        <v>2</v>
      </c>
      <c r="I3" s="60">
        <f t="shared" ref="I3:I66" si="7">G3/H3</f>
        <v>25.019910400599084</v>
      </c>
      <c r="J3" s="60">
        <f t="shared" ref="J3:J66" si="8">(2*PI()*D3*I3)/60</f>
        <v>2000</v>
      </c>
      <c r="K3" s="61">
        <f t="shared" si="1"/>
        <v>887.99645503721945</v>
      </c>
      <c r="L3">
        <f t="shared" si="2"/>
        <v>29.400000000000002</v>
      </c>
      <c r="M3" s="60">
        <f t="shared" si="3"/>
        <v>4.2631221311704293</v>
      </c>
      <c r="N3">
        <f t="shared" si="4"/>
        <v>0</v>
      </c>
      <c r="O3" s="60">
        <f>L3+M3+N3</f>
        <v>33.663122131170432</v>
      </c>
      <c r="P3" s="60">
        <f>K3-O3</f>
        <v>854.33333290604901</v>
      </c>
      <c r="Q3" s="60">
        <f t="shared" si="5"/>
        <v>5.6955555527069937</v>
      </c>
    </row>
    <row r="4" spans="1:21" x14ac:dyDescent="0.25">
      <c r="A4">
        <f t="shared" ref="A4:A67" si="9">A3+0.5</f>
        <v>1</v>
      </c>
      <c r="B4" s="60">
        <f t="shared" ref="B4:B67" si="10">B3+(Q3*(A4-A3))</f>
        <v>7.1270741389056722</v>
      </c>
      <c r="C4" s="62">
        <f t="shared" ref="C4:C67" si="11">B4*3.6</f>
        <v>25.65746690006042</v>
      </c>
      <c r="D4">
        <f t="shared" si="0"/>
        <v>1271.3190056678811</v>
      </c>
      <c r="E4">
        <f t="shared" ref="E4:E67" si="12">E3</f>
        <v>0</v>
      </c>
      <c r="F4">
        <f t="shared" ref="F4:F67" si="13">F3</f>
        <v>2</v>
      </c>
      <c r="G4" s="60">
        <f t="shared" si="6"/>
        <v>30.045319995816612</v>
      </c>
      <c r="H4">
        <v>2</v>
      </c>
      <c r="I4" s="60">
        <f t="shared" si="7"/>
        <v>15.022659997908306</v>
      </c>
      <c r="J4" s="60">
        <f t="shared" si="8"/>
        <v>2000</v>
      </c>
      <c r="K4" s="61">
        <f t="shared" si="1"/>
        <v>533.17812133542259</v>
      </c>
      <c r="L4">
        <f t="shared" si="2"/>
        <v>29.400000000000002</v>
      </c>
      <c r="M4" s="60">
        <f t="shared" si="3"/>
        <v>11.825121141942587</v>
      </c>
      <c r="N4">
        <f t="shared" si="4"/>
        <v>0</v>
      </c>
      <c r="O4" s="60">
        <f t="shared" ref="O4:O67" si="14">L4+M4+N4</f>
        <v>41.225121141942587</v>
      </c>
      <c r="P4" s="60">
        <f t="shared" ref="P4:P67" si="15">K4-O4</f>
        <v>491.95300019348002</v>
      </c>
      <c r="Q4" s="60">
        <f t="shared" si="5"/>
        <v>3.2796866679565335</v>
      </c>
      <c r="T4">
        <v>0.592889</v>
      </c>
      <c r="U4">
        <f>T4*3.6</f>
        <v>2.1344004000000001</v>
      </c>
    </row>
    <row r="5" spans="1:21" x14ac:dyDescent="0.25">
      <c r="A5">
        <f t="shared" si="9"/>
        <v>1.5</v>
      </c>
      <c r="B5" s="60">
        <f t="shared" si="10"/>
        <v>8.7669174728839394</v>
      </c>
      <c r="C5" s="62">
        <f t="shared" si="11"/>
        <v>31.560902902382182</v>
      </c>
      <c r="D5">
        <f t="shared" si="0"/>
        <v>1563.8323086267949</v>
      </c>
      <c r="E5">
        <f t="shared" si="12"/>
        <v>0</v>
      </c>
      <c r="F5">
        <f t="shared" si="13"/>
        <v>2</v>
      </c>
      <c r="G5" s="60">
        <f t="shared" si="6"/>
        <v>24.42537229301518</v>
      </c>
      <c r="H5">
        <v>2</v>
      </c>
      <c r="I5" s="60">
        <f t="shared" si="7"/>
        <v>12.21268614650759</v>
      </c>
      <c r="J5" s="60">
        <f t="shared" si="8"/>
        <v>2000</v>
      </c>
      <c r="K5" s="61">
        <f t="shared" si="1"/>
        <v>433.447675508911</v>
      </c>
      <c r="L5">
        <f t="shared" si="2"/>
        <v>29.400000000000002</v>
      </c>
      <c r="M5" s="60">
        <f t="shared" si="3"/>
        <v>17.892741274934338</v>
      </c>
      <c r="N5">
        <f t="shared" si="4"/>
        <v>0</v>
      </c>
      <c r="O5" s="60">
        <f t="shared" si="14"/>
        <v>47.292741274934343</v>
      </c>
      <c r="P5" s="60">
        <f t="shared" si="15"/>
        <v>386.15493423397663</v>
      </c>
      <c r="Q5" s="60">
        <f t="shared" si="5"/>
        <v>2.574366228226511</v>
      </c>
    </row>
    <row r="6" spans="1:21" x14ac:dyDescent="0.25">
      <c r="A6">
        <f t="shared" si="9"/>
        <v>2</v>
      </c>
      <c r="B6" s="60">
        <f t="shared" si="10"/>
        <v>10.054100586997194</v>
      </c>
      <c r="C6" s="62">
        <f t="shared" si="11"/>
        <v>36.194762113189903</v>
      </c>
      <c r="D6">
        <f t="shared" si="0"/>
        <v>1793.4385011334741</v>
      </c>
      <c r="E6">
        <f t="shared" si="12"/>
        <v>0</v>
      </c>
      <c r="F6">
        <f t="shared" si="13"/>
        <v>2</v>
      </c>
      <c r="G6" s="60">
        <f t="shared" si="6"/>
        <v>21.298297275269718</v>
      </c>
      <c r="H6">
        <v>2</v>
      </c>
      <c r="I6" s="60">
        <f t="shared" si="7"/>
        <v>10.649148637634859</v>
      </c>
      <c r="J6" s="60">
        <f t="shared" si="8"/>
        <v>2000</v>
      </c>
      <c r="K6" s="61">
        <f t="shared" si="1"/>
        <v>377.95523996591783</v>
      </c>
      <c r="L6">
        <f t="shared" si="2"/>
        <v>29.400000000000002</v>
      </c>
      <c r="M6" s="60">
        <f t="shared" si="3"/>
        <v>23.532577474424816</v>
      </c>
      <c r="N6">
        <f t="shared" si="4"/>
        <v>0</v>
      </c>
      <c r="O6" s="60">
        <f t="shared" si="14"/>
        <v>52.932577474424818</v>
      </c>
      <c r="P6" s="60">
        <f t="shared" si="15"/>
        <v>325.02266249149301</v>
      </c>
      <c r="Q6" s="60">
        <f t="shared" si="5"/>
        <v>2.1668177499432866</v>
      </c>
    </row>
    <row r="7" spans="1:21" x14ac:dyDescent="0.25">
      <c r="A7">
        <f t="shared" si="9"/>
        <v>2.5</v>
      </c>
      <c r="B7" s="60">
        <f t="shared" si="10"/>
        <v>11.137509461968838</v>
      </c>
      <c r="C7" s="62">
        <f t="shared" si="11"/>
        <v>40.095034063087816</v>
      </c>
      <c r="D7">
        <f t="shared" si="0"/>
        <v>1986.6956872965739</v>
      </c>
      <c r="E7">
        <f t="shared" si="12"/>
        <v>0</v>
      </c>
      <c r="F7">
        <f t="shared" si="13"/>
        <v>2</v>
      </c>
      <c r="G7" s="60">
        <f t="shared" si="6"/>
        <v>19.226490793883123</v>
      </c>
      <c r="H7">
        <v>2</v>
      </c>
      <c r="I7" s="60">
        <f t="shared" si="7"/>
        <v>9.6132453969415614</v>
      </c>
      <c r="J7" s="60">
        <f t="shared" si="8"/>
        <v>2000</v>
      </c>
      <c r="K7" s="61">
        <f t="shared" si="1"/>
        <v>341.18938466232765</v>
      </c>
      <c r="L7">
        <f t="shared" si="2"/>
        <v>29.400000000000002</v>
      </c>
      <c r="M7" s="60">
        <f t="shared" si="3"/>
        <v>28.877475061591138</v>
      </c>
      <c r="N7">
        <f t="shared" si="4"/>
        <v>0</v>
      </c>
      <c r="O7" s="60">
        <f t="shared" si="14"/>
        <v>58.27747506159114</v>
      </c>
      <c r="P7" s="60">
        <f t="shared" si="15"/>
        <v>282.91190960073652</v>
      </c>
      <c r="Q7" s="60">
        <f t="shared" si="5"/>
        <v>1.8860793973382435</v>
      </c>
    </row>
    <row r="8" spans="1:21" x14ac:dyDescent="0.25">
      <c r="A8">
        <f t="shared" si="9"/>
        <v>3</v>
      </c>
      <c r="B8" s="60">
        <f t="shared" si="10"/>
        <v>12.080549160637959</v>
      </c>
      <c r="C8" s="62">
        <f t="shared" si="11"/>
        <v>43.489976978296653</v>
      </c>
      <c r="D8">
        <f t="shared" si="0"/>
        <v>2154.9139867909935</v>
      </c>
      <c r="E8">
        <f t="shared" si="12"/>
        <v>0</v>
      </c>
      <c r="F8">
        <f t="shared" si="13"/>
        <v>2</v>
      </c>
      <c r="G8" s="60">
        <f t="shared" si="6"/>
        <v>17.725619944087192</v>
      </c>
      <c r="H8">
        <v>2</v>
      </c>
      <c r="I8" s="60">
        <f t="shared" si="7"/>
        <v>8.8628099720435962</v>
      </c>
      <c r="J8" s="60">
        <f t="shared" si="8"/>
        <v>1999.9999999999998</v>
      </c>
      <c r="K8" s="61">
        <f t="shared" si="1"/>
        <v>314.55523664284533</v>
      </c>
      <c r="L8">
        <f t="shared" si="2"/>
        <v>29.400000000000002</v>
      </c>
      <c r="M8" s="60">
        <f t="shared" si="3"/>
        <v>33.974760151620039</v>
      </c>
      <c r="N8">
        <f t="shared" si="4"/>
        <v>0</v>
      </c>
      <c r="O8" s="60">
        <f t="shared" si="14"/>
        <v>63.374760151620038</v>
      </c>
      <c r="P8" s="60">
        <f t="shared" si="15"/>
        <v>251.18047649122531</v>
      </c>
      <c r="Q8" s="60">
        <f t="shared" si="5"/>
        <v>1.6745365099415019</v>
      </c>
      <c r="T8">
        <v>50</v>
      </c>
      <c r="U8">
        <f>(T8*GearRatio)/(2*PI()*WheelRadius*0.001*60)</f>
        <v>2477.4834760965578</v>
      </c>
    </row>
    <row r="9" spans="1:21" x14ac:dyDescent="0.25">
      <c r="A9">
        <f t="shared" si="9"/>
        <v>3.5</v>
      </c>
      <c r="B9" s="60">
        <f t="shared" si="10"/>
        <v>12.91781741560871</v>
      </c>
      <c r="C9" s="62">
        <f t="shared" si="11"/>
        <v>46.504142696191359</v>
      </c>
      <c r="D9">
        <f t="shared" si="0"/>
        <v>2304.2649019970104</v>
      </c>
      <c r="E9">
        <f t="shared" si="12"/>
        <v>0</v>
      </c>
      <c r="F9">
        <f t="shared" si="13"/>
        <v>2</v>
      </c>
      <c r="G9" s="60">
        <f t="shared" si="6"/>
        <v>16.576733998313724</v>
      </c>
      <c r="H9">
        <v>2</v>
      </c>
      <c r="I9" s="60">
        <f t="shared" si="7"/>
        <v>8.288366999156862</v>
      </c>
      <c r="J9" s="60">
        <f t="shared" si="8"/>
        <v>2000</v>
      </c>
      <c r="K9" s="61">
        <f t="shared" si="1"/>
        <v>294.16734094789325</v>
      </c>
      <c r="L9">
        <f t="shared" si="2"/>
        <v>29.400000000000002</v>
      </c>
      <c r="M9" s="60">
        <f t="shared" si="3"/>
        <v>38.847343794657526</v>
      </c>
      <c r="N9">
        <f t="shared" si="4"/>
        <v>0</v>
      </c>
      <c r="O9" s="60">
        <f t="shared" si="14"/>
        <v>68.247343794657525</v>
      </c>
      <c r="P9" s="60">
        <f t="shared" si="15"/>
        <v>225.91999715323573</v>
      </c>
      <c r="Q9" s="60">
        <f t="shared" si="5"/>
        <v>1.5061333143549049</v>
      </c>
      <c r="T9">
        <v>50</v>
      </c>
      <c r="U9">
        <f>(T9*GearRatio)/(2*3.1415*WheelRadius*0.001*60)</f>
        <v>2477.5565455658284</v>
      </c>
    </row>
    <row r="10" spans="1:21" x14ac:dyDescent="0.25">
      <c r="A10">
        <f t="shared" si="9"/>
        <v>4</v>
      </c>
      <c r="B10" s="60">
        <f t="shared" si="10"/>
        <v>13.670884072786162</v>
      </c>
      <c r="C10" s="62">
        <f t="shared" si="11"/>
        <v>49.215182662030188</v>
      </c>
      <c r="D10">
        <f t="shared" si="0"/>
        <v>2438.596036365072</v>
      </c>
      <c r="E10">
        <f t="shared" si="12"/>
        <v>0</v>
      </c>
      <c r="F10">
        <f t="shared" si="13"/>
        <v>2</v>
      </c>
      <c r="G10" s="60">
        <f t="shared" si="6"/>
        <v>15.663597320936734</v>
      </c>
      <c r="H10">
        <v>2</v>
      </c>
      <c r="I10" s="60">
        <f t="shared" si="7"/>
        <v>7.8317986604683671</v>
      </c>
      <c r="J10" s="60">
        <f t="shared" si="8"/>
        <v>2000</v>
      </c>
      <c r="K10" s="61">
        <f t="shared" si="1"/>
        <v>277.96300369223661</v>
      </c>
      <c r="L10">
        <f t="shared" si="2"/>
        <v>29.400000000000002</v>
      </c>
      <c r="M10" s="60">
        <f t="shared" si="3"/>
        <v>43.508713967380196</v>
      </c>
      <c r="N10">
        <f t="shared" si="4"/>
        <v>0</v>
      </c>
      <c r="O10" s="60">
        <f t="shared" si="14"/>
        <v>72.908713967380194</v>
      </c>
      <c r="P10" s="60">
        <f t="shared" si="15"/>
        <v>205.0542897248564</v>
      </c>
      <c r="Q10" s="60">
        <f t="shared" si="5"/>
        <v>1.3670285981657093</v>
      </c>
    </row>
    <row r="11" spans="1:21" x14ac:dyDescent="0.25">
      <c r="A11">
        <f t="shared" si="9"/>
        <v>4.5</v>
      </c>
      <c r="B11" s="60">
        <f t="shared" si="10"/>
        <v>14.354398371869017</v>
      </c>
      <c r="C11" s="62">
        <f t="shared" si="11"/>
        <v>51.675834138728462</v>
      </c>
      <c r="D11">
        <f t="shared" si="0"/>
        <v>2560.5205038441236</v>
      </c>
      <c r="E11">
        <f t="shared" si="12"/>
        <v>0</v>
      </c>
      <c r="F11">
        <f t="shared" si="13"/>
        <v>2</v>
      </c>
      <c r="G11" s="60">
        <f t="shared" si="6"/>
        <v>14.917742812334145</v>
      </c>
      <c r="H11">
        <v>2</v>
      </c>
      <c r="I11" s="60">
        <f t="shared" si="7"/>
        <v>7.4588714061670727</v>
      </c>
      <c r="J11" s="60">
        <f t="shared" si="8"/>
        <v>2000</v>
      </c>
      <c r="K11" s="61">
        <f t="shared" si="1"/>
        <v>264.72722168886128</v>
      </c>
      <c r="L11">
        <f t="shared" si="2"/>
        <v>29.400000000000002</v>
      </c>
      <c r="M11" s="60">
        <f t="shared" si="3"/>
        <v>47.968157284448189</v>
      </c>
      <c r="N11">
        <f t="shared" si="4"/>
        <v>0</v>
      </c>
      <c r="O11" s="60">
        <f t="shared" si="14"/>
        <v>77.368157284448188</v>
      </c>
      <c r="P11" s="60">
        <f t="shared" si="15"/>
        <v>187.35906440441309</v>
      </c>
      <c r="Q11" s="60">
        <f t="shared" si="5"/>
        <v>1.2490604293627539</v>
      </c>
    </row>
    <row r="12" spans="1:21" x14ac:dyDescent="0.25">
      <c r="A12">
        <f t="shared" si="9"/>
        <v>5</v>
      </c>
      <c r="B12" s="60">
        <f t="shared" si="10"/>
        <v>14.978928586550394</v>
      </c>
      <c r="C12" s="62">
        <f t="shared" si="11"/>
        <v>53.92414291158142</v>
      </c>
      <c r="D12">
        <f t="shared" si="0"/>
        <v>2671.9234605222459</v>
      </c>
      <c r="E12">
        <f t="shared" si="12"/>
        <v>0</v>
      </c>
      <c r="F12">
        <f t="shared" si="13"/>
        <v>2</v>
      </c>
      <c r="G12" s="60">
        <f t="shared" si="6"/>
        <v>14.295763672283107</v>
      </c>
      <c r="H12">
        <v>2</v>
      </c>
      <c r="I12" s="60">
        <f t="shared" si="7"/>
        <v>7.1478818361415533</v>
      </c>
      <c r="J12" s="60">
        <f t="shared" si="8"/>
        <v>2000.0000000000002</v>
      </c>
      <c r="K12" s="61">
        <f t="shared" si="1"/>
        <v>253.68970671320423</v>
      </c>
      <c r="L12">
        <f t="shared" si="2"/>
        <v>29.400000000000002</v>
      </c>
      <c r="M12" s="60">
        <f t="shared" si="3"/>
        <v>52.232948969978189</v>
      </c>
      <c r="N12">
        <f t="shared" si="4"/>
        <v>0</v>
      </c>
      <c r="O12" s="60">
        <f t="shared" si="14"/>
        <v>81.632948969978187</v>
      </c>
      <c r="P12" s="60">
        <f t="shared" si="15"/>
        <v>172.05675774322606</v>
      </c>
      <c r="Q12" s="60">
        <f t="shared" si="5"/>
        <v>1.1470450516215072</v>
      </c>
      <c r="S12" t="s">
        <v>94</v>
      </c>
      <c r="T12" t="s">
        <v>140</v>
      </c>
      <c r="U12" t="s">
        <v>141</v>
      </c>
    </row>
    <row r="13" spans="1:21" x14ac:dyDescent="0.25">
      <c r="A13">
        <f t="shared" si="9"/>
        <v>5.5</v>
      </c>
      <c r="B13" s="60">
        <f t="shared" si="10"/>
        <v>15.552451112361148</v>
      </c>
      <c r="C13" s="62">
        <f t="shared" si="11"/>
        <v>55.988824004500131</v>
      </c>
      <c r="D13">
        <f t="shared" si="0"/>
        <v>2774.2277263445476</v>
      </c>
      <c r="E13">
        <f t="shared" si="12"/>
        <v>0</v>
      </c>
      <c r="F13">
        <f t="shared" si="13"/>
        <v>2</v>
      </c>
      <c r="G13" s="60">
        <f t="shared" si="6"/>
        <v>13.768583587903681</v>
      </c>
      <c r="H13">
        <v>2</v>
      </c>
      <c r="I13" s="60">
        <f t="shared" si="7"/>
        <v>6.8842917939518404</v>
      </c>
      <c r="J13" s="60">
        <f t="shared" si="8"/>
        <v>2000</v>
      </c>
      <c r="K13" s="61">
        <f t="shared" si="1"/>
        <v>244.33447644659336</v>
      </c>
      <c r="L13">
        <f t="shared" si="2"/>
        <v>29.400000000000002</v>
      </c>
      <c r="M13" s="60">
        <f t="shared" si="3"/>
        <v>56.309378657734378</v>
      </c>
      <c r="N13">
        <f t="shared" si="4"/>
        <v>0</v>
      </c>
      <c r="O13" s="60">
        <f t="shared" si="14"/>
        <v>85.709378657734376</v>
      </c>
      <c r="P13" s="60">
        <f t="shared" si="15"/>
        <v>158.62509778885897</v>
      </c>
      <c r="Q13" s="60">
        <f t="shared" si="5"/>
        <v>1.0575006519257264</v>
      </c>
      <c r="S13">
        <v>1000</v>
      </c>
      <c r="T13">
        <v>37</v>
      </c>
      <c r="U13">
        <f>2*PI()*S13*T13/60</f>
        <v>3874.6309394274112</v>
      </c>
    </row>
    <row r="14" spans="1:21" x14ac:dyDescent="0.25">
      <c r="A14">
        <f t="shared" si="9"/>
        <v>6</v>
      </c>
      <c r="B14" s="60">
        <f t="shared" si="10"/>
        <v>16.081201438324012</v>
      </c>
      <c r="C14" s="62">
        <f t="shared" si="11"/>
        <v>57.892325177966441</v>
      </c>
      <c r="D14">
        <f t="shared" si="0"/>
        <v>2868.5455804244116</v>
      </c>
      <c r="E14">
        <f t="shared" si="12"/>
        <v>0</v>
      </c>
      <c r="F14">
        <f t="shared" si="13"/>
        <v>2</v>
      </c>
      <c r="G14" s="60">
        <f t="shared" si="6"/>
        <v>13.315872197646401</v>
      </c>
      <c r="H14">
        <v>2</v>
      </c>
      <c r="I14" s="60">
        <f t="shared" si="7"/>
        <v>6.6579360988232006</v>
      </c>
      <c r="J14" s="60">
        <f t="shared" si="8"/>
        <v>2000</v>
      </c>
      <c r="K14" s="61">
        <f t="shared" si="1"/>
        <v>236.3007524390564</v>
      </c>
      <c r="L14">
        <f t="shared" si="2"/>
        <v>29.400000000000002</v>
      </c>
      <c r="M14" s="60">
        <f t="shared" si="3"/>
        <v>60.203262874670258</v>
      </c>
      <c r="N14">
        <f t="shared" si="4"/>
        <v>0</v>
      </c>
      <c r="O14" s="60">
        <f t="shared" si="14"/>
        <v>89.603262874670264</v>
      </c>
      <c r="P14" s="60">
        <f t="shared" si="15"/>
        <v>146.69748956438613</v>
      </c>
      <c r="Q14" s="60">
        <f t="shared" si="5"/>
        <v>0.97798326376257416</v>
      </c>
    </row>
    <row r="15" spans="1:21" x14ac:dyDescent="0.25">
      <c r="A15">
        <f t="shared" si="9"/>
        <v>6.5</v>
      </c>
      <c r="B15" s="60">
        <f t="shared" si="10"/>
        <v>16.570193070205299</v>
      </c>
      <c r="C15" s="62">
        <f t="shared" si="11"/>
        <v>59.652695052739077</v>
      </c>
      <c r="D15">
        <f t="shared" si="0"/>
        <v>2955.7713259557586</v>
      </c>
      <c r="E15">
        <f t="shared" si="12"/>
        <v>0</v>
      </c>
      <c r="F15">
        <f t="shared" si="13"/>
        <v>2</v>
      </c>
      <c r="G15" s="60">
        <f t="shared" si="6"/>
        <v>12.92291660272592</v>
      </c>
      <c r="H15">
        <v>2</v>
      </c>
      <c r="I15" s="60">
        <f t="shared" si="7"/>
        <v>6.4614583013629598</v>
      </c>
      <c r="J15" s="60">
        <f t="shared" si="8"/>
        <v>2000</v>
      </c>
      <c r="K15" s="61">
        <f t="shared" si="1"/>
        <v>229.32744258923225</v>
      </c>
      <c r="L15">
        <f t="shared" si="2"/>
        <v>29.400000000000002</v>
      </c>
      <c r="M15" s="60">
        <f t="shared" si="3"/>
        <v>63.920208490999329</v>
      </c>
      <c r="N15">
        <f t="shared" si="4"/>
        <v>0</v>
      </c>
      <c r="O15" s="60">
        <f t="shared" si="14"/>
        <v>93.320208490999335</v>
      </c>
      <c r="P15" s="60">
        <f t="shared" si="15"/>
        <v>136.00723409823291</v>
      </c>
      <c r="Q15" s="60">
        <f t="shared" si="5"/>
        <v>0.90671489398821947</v>
      </c>
    </row>
    <row r="16" spans="1:21" x14ac:dyDescent="0.25">
      <c r="A16">
        <f t="shared" si="9"/>
        <v>7</v>
      </c>
      <c r="B16" s="60">
        <f t="shared" si="10"/>
        <v>17.023550517199411</v>
      </c>
      <c r="C16" s="62">
        <f t="shared" si="11"/>
        <v>61.284781861917878</v>
      </c>
      <c r="D16">
        <f t="shared" si="0"/>
        <v>3036.6406879816714</v>
      </c>
      <c r="E16">
        <f t="shared" si="12"/>
        <v>0</v>
      </c>
      <c r="F16">
        <f t="shared" si="13"/>
        <v>2</v>
      </c>
      <c r="G16" s="60">
        <f t="shared" si="6"/>
        <v>12.578763925949685</v>
      </c>
      <c r="H16">
        <v>2</v>
      </c>
      <c r="I16" s="60">
        <f t="shared" si="7"/>
        <v>6.2893819629748426</v>
      </c>
      <c r="J16" s="60">
        <f t="shared" si="8"/>
        <v>2000</v>
      </c>
      <c r="K16" s="61">
        <f t="shared" si="1"/>
        <v>223.2201793721436</v>
      </c>
      <c r="L16">
        <f t="shared" si="2"/>
        <v>29.400000000000002</v>
      </c>
      <c r="M16" s="60">
        <f t="shared" si="3"/>
        <v>67.465746965388092</v>
      </c>
      <c r="N16">
        <f t="shared" si="4"/>
        <v>0</v>
      </c>
      <c r="O16" s="60">
        <f t="shared" si="14"/>
        <v>96.865746965388098</v>
      </c>
      <c r="P16" s="60">
        <f t="shared" si="15"/>
        <v>126.35443240675551</v>
      </c>
      <c r="Q16" s="60">
        <f t="shared" si="5"/>
        <v>0.84236288271170334</v>
      </c>
      <c r="S16" t="s">
        <v>142</v>
      </c>
      <c r="T16">
        <v>37</v>
      </c>
      <c r="U16" t="s">
        <v>100</v>
      </c>
    </row>
    <row r="17" spans="1:21" x14ac:dyDescent="0.25">
      <c r="A17">
        <f t="shared" si="9"/>
        <v>7.5</v>
      </c>
      <c r="B17" s="60">
        <f t="shared" si="10"/>
        <v>17.444731958555263</v>
      </c>
      <c r="C17" s="62">
        <f t="shared" si="11"/>
        <v>62.801035050798944</v>
      </c>
      <c r="D17">
        <f t="shared" si="0"/>
        <v>3111.7705324023027</v>
      </c>
      <c r="E17">
        <f t="shared" si="12"/>
        <v>0</v>
      </c>
      <c r="F17">
        <f t="shared" si="13"/>
        <v>2</v>
      </c>
      <c r="G17" s="60">
        <f t="shared" si="6"/>
        <v>12.275065254431359</v>
      </c>
      <c r="H17">
        <v>2</v>
      </c>
      <c r="I17" s="60">
        <f t="shared" si="7"/>
        <v>6.1375326272156796</v>
      </c>
      <c r="J17" s="60">
        <f t="shared" si="8"/>
        <v>2000</v>
      </c>
      <c r="K17" s="61">
        <f t="shared" si="1"/>
        <v>217.83080468234996</v>
      </c>
      <c r="L17">
        <f t="shared" si="2"/>
        <v>29.400000000000002</v>
      </c>
      <c r="M17" s="60">
        <f t="shared" si="3"/>
        <v>70.845398434301785</v>
      </c>
      <c r="N17">
        <f t="shared" si="4"/>
        <v>0</v>
      </c>
      <c r="O17" s="60">
        <f t="shared" si="14"/>
        <v>100.24539843430179</v>
      </c>
      <c r="P17" s="60">
        <f t="shared" si="15"/>
        <v>117.58540624804817</v>
      </c>
      <c r="Q17" s="60">
        <f t="shared" si="5"/>
        <v>0.78390270832032116</v>
      </c>
      <c r="S17" t="s">
        <v>143</v>
      </c>
      <c r="T17">
        <v>500</v>
      </c>
      <c r="U17" t="s">
        <v>144</v>
      </c>
    </row>
    <row r="18" spans="1:21" x14ac:dyDescent="0.25">
      <c r="A18">
        <f t="shared" si="9"/>
        <v>8</v>
      </c>
      <c r="B18" s="60">
        <f t="shared" si="10"/>
        <v>17.836683312715422</v>
      </c>
      <c r="C18" s="62">
        <f t="shared" si="11"/>
        <v>64.21205992577552</v>
      </c>
      <c r="D18">
        <f t="shared" si="0"/>
        <v>3181.6863486446164</v>
      </c>
      <c r="E18">
        <f t="shared" si="12"/>
        <v>0</v>
      </c>
      <c r="F18">
        <f t="shared" si="13"/>
        <v>2</v>
      </c>
      <c r="G18" s="60">
        <f t="shared" si="6"/>
        <v>12.005327413346921</v>
      </c>
      <c r="H18">
        <v>2</v>
      </c>
      <c r="I18" s="60">
        <f t="shared" si="7"/>
        <v>6.0026637066734603</v>
      </c>
      <c r="J18" s="60">
        <f t="shared" si="8"/>
        <v>2000</v>
      </c>
      <c r="K18" s="61">
        <f t="shared" si="1"/>
        <v>213.04409196361379</v>
      </c>
      <c r="L18">
        <f t="shared" si="2"/>
        <v>29.400000000000002</v>
      </c>
      <c r="M18" s="60">
        <f t="shared" si="3"/>
        <v>74.064696678387918</v>
      </c>
      <c r="N18">
        <f t="shared" si="4"/>
        <v>0</v>
      </c>
      <c r="O18" s="60">
        <f t="shared" si="14"/>
        <v>103.46469667838792</v>
      </c>
      <c r="P18" s="60">
        <f t="shared" si="15"/>
        <v>109.57939528522587</v>
      </c>
      <c r="Q18" s="60">
        <f t="shared" si="5"/>
        <v>0.73052930190150578</v>
      </c>
      <c r="S18" t="s">
        <v>145</v>
      </c>
      <c r="T18">
        <f>2*PI()*T17*T16/60</f>
        <v>1937.3154697137056</v>
      </c>
      <c r="U18" t="s">
        <v>88</v>
      </c>
    </row>
    <row r="19" spans="1:21" x14ac:dyDescent="0.25">
      <c r="A19">
        <f t="shared" si="9"/>
        <v>8.5</v>
      </c>
      <c r="B19" s="60">
        <f t="shared" si="10"/>
        <v>18.201947963666175</v>
      </c>
      <c r="C19" s="62">
        <f t="shared" si="11"/>
        <v>65.527012669198228</v>
      </c>
      <c r="D19">
        <f t="shared" si="0"/>
        <v>3246.8418225181686</v>
      </c>
      <c r="E19">
        <f t="shared" si="12"/>
        <v>0</v>
      </c>
      <c r="F19">
        <f t="shared" si="13"/>
        <v>2</v>
      </c>
      <c r="G19" s="60">
        <f t="shared" si="6"/>
        <v>11.764412444468919</v>
      </c>
      <c r="H19">
        <v>2</v>
      </c>
      <c r="I19" s="60">
        <f t="shared" si="7"/>
        <v>5.8822062222344593</v>
      </c>
      <c r="J19" s="60">
        <f t="shared" si="8"/>
        <v>2000</v>
      </c>
      <c r="K19" s="61">
        <f t="shared" si="1"/>
        <v>208.76886405704332</v>
      </c>
      <c r="L19">
        <f t="shared" si="2"/>
        <v>29.400000000000002</v>
      </c>
      <c r="M19" s="60">
        <f t="shared" si="3"/>
        <v>77.129192112313461</v>
      </c>
      <c r="N19">
        <f t="shared" si="4"/>
        <v>0</v>
      </c>
      <c r="O19" s="60">
        <f t="shared" si="14"/>
        <v>106.52919211231347</v>
      </c>
      <c r="P19" s="60">
        <f t="shared" si="15"/>
        <v>102.23967194472985</v>
      </c>
      <c r="Q19" s="60">
        <f t="shared" si="5"/>
        <v>0.68159781296486566</v>
      </c>
      <c r="S19" t="s">
        <v>146</v>
      </c>
      <c r="T19">
        <v>7</v>
      </c>
      <c r="U19" t="s">
        <v>147</v>
      </c>
    </row>
    <row r="20" spans="1:21" x14ac:dyDescent="0.25">
      <c r="A20">
        <f t="shared" si="9"/>
        <v>9</v>
      </c>
      <c r="B20" s="60">
        <f t="shared" si="10"/>
        <v>18.542746870148608</v>
      </c>
      <c r="C20" s="62">
        <f t="shared" si="11"/>
        <v>66.753888732534989</v>
      </c>
      <c r="D20">
        <f t="shared" si="0"/>
        <v>3307.6331260008728</v>
      </c>
      <c r="E20">
        <f t="shared" si="12"/>
        <v>0</v>
      </c>
      <c r="F20">
        <f t="shared" si="13"/>
        <v>2</v>
      </c>
      <c r="G20" s="60">
        <f t="shared" si="6"/>
        <v>11.548193190409112</v>
      </c>
      <c r="H20">
        <v>2</v>
      </c>
      <c r="I20" s="60">
        <f t="shared" si="7"/>
        <v>5.774096595204556</v>
      </c>
      <c r="J20" s="60">
        <f t="shared" si="8"/>
        <v>2000</v>
      </c>
      <c r="K20" s="61">
        <f t="shared" si="1"/>
        <v>204.93188126930113</v>
      </c>
      <c r="L20">
        <f t="shared" si="2"/>
        <v>29.400000000000002</v>
      </c>
      <c r="M20" s="60">
        <f t="shared" si="3"/>
        <v>80.044442642075794</v>
      </c>
      <c r="N20">
        <f t="shared" si="4"/>
        <v>0</v>
      </c>
      <c r="O20" s="60">
        <f t="shared" si="14"/>
        <v>109.4444426420758</v>
      </c>
      <c r="P20" s="60">
        <f t="shared" si="15"/>
        <v>95.48743862722533</v>
      </c>
      <c r="Q20" s="60">
        <f t="shared" si="5"/>
        <v>0.6365829241815022</v>
      </c>
    </row>
    <row r="21" spans="1:21" x14ac:dyDescent="0.25">
      <c r="A21">
        <f t="shared" si="9"/>
        <v>9.5</v>
      </c>
      <c r="B21" s="60">
        <f t="shared" si="10"/>
        <v>18.86103833223936</v>
      </c>
      <c r="C21" s="62">
        <f t="shared" si="11"/>
        <v>67.899737996061702</v>
      </c>
      <c r="D21">
        <f t="shared" si="0"/>
        <v>3364.4095783305697</v>
      </c>
      <c r="E21">
        <f t="shared" si="12"/>
        <v>0</v>
      </c>
      <c r="F21">
        <f t="shared" si="13"/>
        <v>2</v>
      </c>
      <c r="G21" s="60">
        <f t="shared" si="6"/>
        <v>11.353310425720652</v>
      </c>
      <c r="H21">
        <v>2</v>
      </c>
      <c r="I21" s="60">
        <f t="shared" si="7"/>
        <v>5.676655212860326</v>
      </c>
      <c r="J21" s="60">
        <f t="shared" si="8"/>
        <v>2000</v>
      </c>
      <c r="K21" s="61">
        <f t="shared" si="1"/>
        <v>201.47353147067312</v>
      </c>
      <c r="L21">
        <f t="shared" si="2"/>
        <v>29.400000000000002</v>
      </c>
      <c r="M21" s="60">
        <f t="shared" si="3"/>
        <v>82.815998201221277</v>
      </c>
      <c r="N21">
        <f t="shared" si="4"/>
        <v>0</v>
      </c>
      <c r="O21" s="60">
        <f t="shared" si="14"/>
        <v>112.21599820122128</v>
      </c>
      <c r="P21" s="60">
        <f t="shared" si="15"/>
        <v>89.257533269451841</v>
      </c>
      <c r="Q21" s="60">
        <f t="shared" si="5"/>
        <v>0.59505022179634559</v>
      </c>
    </row>
    <row r="22" spans="1:21" x14ac:dyDescent="0.25">
      <c r="A22">
        <f t="shared" si="9"/>
        <v>10</v>
      </c>
      <c r="B22" s="60">
        <f t="shared" si="10"/>
        <v>19.158563443137535</v>
      </c>
      <c r="C22" s="62">
        <f t="shared" si="11"/>
        <v>68.970828395295129</v>
      </c>
      <c r="D22">
        <f t="shared" si="0"/>
        <v>3417.481753640699</v>
      </c>
      <c r="E22">
        <f t="shared" si="12"/>
        <v>0</v>
      </c>
      <c r="F22">
        <f t="shared" si="13"/>
        <v>2</v>
      </c>
      <c r="G22" s="60">
        <f t="shared" si="6"/>
        <v>11.176997887805195</v>
      </c>
      <c r="H22">
        <v>2</v>
      </c>
      <c r="I22" s="60">
        <f t="shared" si="7"/>
        <v>5.5884989439025974</v>
      </c>
      <c r="J22" s="60">
        <f t="shared" si="8"/>
        <v>2000</v>
      </c>
      <c r="K22" s="61">
        <f t="shared" si="1"/>
        <v>198.34472512922852</v>
      </c>
      <c r="L22">
        <f t="shared" si="2"/>
        <v>29.400000000000002</v>
      </c>
      <c r="M22" s="60">
        <f t="shared" si="3"/>
        <v>85.449382457959757</v>
      </c>
      <c r="N22">
        <f t="shared" si="4"/>
        <v>0</v>
      </c>
      <c r="O22" s="60">
        <f t="shared" si="14"/>
        <v>114.84938245795976</v>
      </c>
      <c r="P22" s="60">
        <f t="shared" si="15"/>
        <v>83.495342671268759</v>
      </c>
      <c r="Q22" s="60">
        <f t="shared" si="5"/>
        <v>0.55663561780845838</v>
      </c>
    </row>
    <row r="23" spans="1:21" x14ac:dyDescent="0.25">
      <c r="A23">
        <f t="shared" si="9"/>
        <v>10.5</v>
      </c>
      <c r="B23" s="60">
        <f t="shared" si="10"/>
        <v>19.436881252041765</v>
      </c>
      <c r="C23" s="62">
        <f t="shared" si="11"/>
        <v>69.972772507350356</v>
      </c>
      <c r="D23">
        <f t="shared" si="0"/>
        <v>3467.1277532724798</v>
      </c>
      <c r="E23">
        <f t="shared" si="12"/>
        <v>0</v>
      </c>
      <c r="F23">
        <f t="shared" si="13"/>
        <v>2</v>
      </c>
      <c r="G23" s="60">
        <f t="shared" si="6"/>
        <v>11.016953818907343</v>
      </c>
      <c r="H23">
        <v>2</v>
      </c>
      <c r="I23" s="60">
        <f t="shared" si="7"/>
        <v>5.5084769094536714</v>
      </c>
      <c r="J23" s="60">
        <f t="shared" si="8"/>
        <v>1999.9999999999998</v>
      </c>
      <c r="K23" s="61">
        <f t="shared" si="1"/>
        <v>195.50461572125033</v>
      </c>
      <c r="L23">
        <f t="shared" si="2"/>
        <v>29.400000000000002</v>
      </c>
      <c r="M23" s="60">
        <f t="shared" si="3"/>
        <v>87.95007380524055</v>
      </c>
      <c r="N23">
        <f t="shared" si="4"/>
        <v>0</v>
      </c>
      <c r="O23" s="60">
        <f t="shared" si="14"/>
        <v>117.35007380524056</v>
      </c>
      <c r="P23" s="60">
        <f t="shared" si="15"/>
        <v>78.154541916009777</v>
      </c>
      <c r="Q23" s="60">
        <f t="shared" si="5"/>
        <v>0.52103027944006519</v>
      </c>
    </row>
    <row r="24" spans="1:21" x14ac:dyDescent="0.25">
      <c r="A24">
        <f t="shared" si="9"/>
        <v>11</v>
      </c>
      <c r="B24" s="60">
        <f t="shared" si="10"/>
        <v>19.697396391761796</v>
      </c>
      <c r="C24" s="62">
        <f t="shared" si="11"/>
        <v>70.910627010342466</v>
      </c>
      <c r="D24">
        <f t="shared" si="0"/>
        <v>3513.5981339553946</v>
      </c>
      <c r="E24">
        <f t="shared" si="12"/>
        <v>0</v>
      </c>
      <c r="F24">
        <f t="shared" si="13"/>
        <v>2</v>
      </c>
      <c r="G24" s="60">
        <f t="shared" si="6"/>
        <v>10.871245055863808</v>
      </c>
      <c r="H24">
        <v>2</v>
      </c>
      <c r="I24" s="60">
        <f t="shared" si="7"/>
        <v>5.4356225279319039</v>
      </c>
      <c r="J24" s="60">
        <f t="shared" si="8"/>
        <v>2000</v>
      </c>
      <c r="K24" s="61">
        <f t="shared" si="1"/>
        <v>192.91889772748365</v>
      </c>
      <c r="L24">
        <f t="shared" si="2"/>
        <v>29.400000000000002</v>
      </c>
      <c r="M24" s="60">
        <f t="shared" si="3"/>
        <v>90.323486901939745</v>
      </c>
      <c r="N24">
        <f t="shared" si="4"/>
        <v>0</v>
      </c>
      <c r="O24" s="60">
        <f t="shared" si="14"/>
        <v>119.72348690193975</v>
      </c>
      <c r="P24" s="60">
        <f t="shared" si="15"/>
        <v>73.195410825543902</v>
      </c>
      <c r="Q24" s="60">
        <f t="shared" si="5"/>
        <v>0.487969405503626</v>
      </c>
      <c r="S24">
        <f>2*PI()*500*19/60</f>
        <v>994.83767363676782</v>
      </c>
    </row>
    <row r="25" spans="1:21" x14ac:dyDescent="0.25">
      <c r="A25">
        <f t="shared" si="9"/>
        <v>11.5</v>
      </c>
      <c r="B25" s="60">
        <f t="shared" si="10"/>
        <v>19.941381094513609</v>
      </c>
      <c r="C25" s="62">
        <f t="shared" si="11"/>
        <v>71.788971940248999</v>
      </c>
      <c r="D25">
        <f t="shared" si="0"/>
        <v>3557.119834958527</v>
      </c>
      <c r="E25">
        <f t="shared" si="12"/>
        <v>0</v>
      </c>
      <c r="F25">
        <f t="shared" si="13"/>
        <v>2</v>
      </c>
      <c r="G25" s="60">
        <f t="shared" si="6"/>
        <v>10.738234334042398</v>
      </c>
      <c r="H25">
        <v>2</v>
      </c>
      <c r="I25" s="60">
        <f t="shared" si="7"/>
        <v>5.3691171670211988</v>
      </c>
      <c r="J25" s="60">
        <f t="shared" si="8"/>
        <v>2000</v>
      </c>
      <c r="K25" s="61">
        <f t="shared" si="1"/>
        <v>190.5585165836622</v>
      </c>
      <c r="L25">
        <f t="shared" si="2"/>
        <v>29.400000000000002</v>
      </c>
      <c r="M25" s="60">
        <f t="shared" si="3"/>
        <v>92.574955505893371</v>
      </c>
      <c r="N25">
        <f t="shared" si="4"/>
        <v>0</v>
      </c>
      <c r="O25" s="60">
        <f t="shared" si="14"/>
        <v>121.97495550589338</v>
      </c>
      <c r="P25" s="60">
        <f t="shared" si="15"/>
        <v>68.58356107776882</v>
      </c>
      <c r="Q25" s="60">
        <f t="shared" si="5"/>
        <v>0.45722374051845882</v>
      </c>
    </row>
    <row r="26" spans="1:21" x14ac:dyDescent="0.25">
      <c r="A26">
        <f t="shared" si="9"/>
        <v>12</v>
      </c>
      <c r="B26" s="60">
        <f t="shared" si="10"/>
        <v>20.169992964772838</v>
      </c>
      <c r="C26" s="62">
        <f t="shared" si="11"/>
        <v>72.611974673182218</v>
      </c>
      <c r="D26">
        <f t="shared" si="0"/>
        <v>3597.899348391014</v>
      </c>
      <c r="E26">
        <f t="shared" si="12"/>
        <v>0</v>
      </c>
      <c r="F26">
        <f t="shared" si="13"/>
        <v>2</v>
      </c>
      <c r="G26" s="60">
        <f t="shared" si="6"/>
        <v>10.616524433663415</v>
      </c>
      <c r="H26">
        <v>2</v>
      </c>
      <c r="I26" s="60">
        <f t="shared" si="7"/>
        <v>5.3082622168317073</v>
      </c>
      <c r="J26" s="60">
        <f t="shared" si="8"/>
        <v>2000</v>
      </c>
      <c r="K26" s="61">
        <f t="shared" si="1"/>
        <v>188.39867751251822</v>
      </c>
      <c r="L26">
        <f t="shared" si="2"/>
        <v>29.400000000000002</v>
      </c>
      <c r="M26" s="60">
        <f t="shared" si="3"/>
        <v>94.70971700467679</v>
      </c>
      <c r="N26">
        <f t="shared" si="4"/>
        <v>0</v>
      </c>
      <c r="O26" s="60">
        <f t="shared" si="14"/>
        <v>124.1097170046768</v>
      </c>
      <c r="P26" s="60">
        <f t="shared" si="15"/>
        <v>64.288960507841423</v>
      </c>
      <c r="Q26" s="60">
        <f t="shared" si="5"/>
        <v>0.42859307005227615</v>
      </c>
    </row>
    <row r="27" spans="1:21" x14ac:dyDescent="0.25">
      <c r="A27">
        <f t="shared" si="9"/>
        <v>12.5</v>
      </c>
      <c r="B27" s="60">
        <f t="shared" si="10"/>
        <v>20.384289499798975</v>
      </c>
      <c r="C27" s="62">
        <f t="shared" si="11"/>
        <v>73.383442199276317</v>
      </c>
      <c r="D27">
        <f t="shared" si="0"/>
        <v>3636.1253093558785</v>
      </c>
      <c r="E27">
        <f t="shared" si="12"/>
        <v>0</v>
      </c>
      <c r="F27">
        <f t="shared" si="13"/>
        <v>2</v>
      </c>
      <c r="G27" s="60">
        <f t="shared" si="6"/>
        <v>10.504914735411393</v>
      </c>
      <c r="H27">
        <v>2</v>
      </c>
      <c r="I27" s="60">
        <f t="shared" si="7"/>
        <v>5.2524573677056967</v>
      </c>
      <c r="J27" s="60">
        <f t="shared" si="8"/>
        <v>1999.9999999999998</v>
      </c>
      <c r="K27" s="61">
        <f t="shared" si="1"/>
        <v>186.41807456852857</v>
      </c>
      <c r="L27">
        <f t="shared" si="2"/>
        <v>29.400000000000002</v>
      </c>
      <c r="M27" s="60">
        <f t="shared" si="3"/>
        <v>96.732898835485884</v>
      </c>
      <c r="N27">
        <f t="shared" si="4"/>
        <v>0</v>
      </c>
      <c r="O27" s="60">
        <f t="shared" si="14"/>
        <v>126.13289883548589</v>
      </c>
      <c r="P27" s="60">
        <f t="shared" si="15"/>
        <v>60.285175733042678</v>
      </c>
      <c r="Q27" s="60">
        <f t="shared" si="5"/>
        <v>0.40190117155361788</v>
      </c>
    </row>
    <row r="28" spans="1:21" x14ac:dyDescent="0.25">
      <c r="A28">
        <f t="shared" si="9"/>
        <v>13</v>
      </c>
      <c r="B28" s="60">
        <f t="shared" si="10"/>
        <v>20.585240085575784</v>
      </c>
      <c r="C28" s="62">
        <f t="shared" si="11"/>
        <v>74.106864308072829</v>
      </c>
      <c r="D28">
        <f t="shared" si="0"/>
        <v>3671.9706357716041</v>
      </c>
      <c r="E28">
        <f t="shared" si="12"/>
        <v>0</v>
      </c>
      <c r="F28">
        <f t="shared" si="13"/>
        <v>2</v>
      </c>
      <c r="G28" s="60">
        <f t="shared" si="6"/>
        <v>10.402367047804121</v>
      </c>
      <c r="H28">
        <v>2</v>
      </c>
      <c r="I28" s="60">
        <f t="shared" si="7"/>
        <v>5.2011835239020607</v>
      </c>
      <c r="J28" s="60">
        <f t="shared" si="8"/>
        <v>2000</v>
      </c>
      <c r="K28" s="61">
        <f t="shared" si="1"/>
        <v>184.59828421737404</v>
      </c>
      <c r="L28">
        <f t="shared" si="2"/>
        <v>29.400000000000002</v>
      </c>
      <c r="M28" s="60">
        <f t="shared" si="3"/>
        <v>98.649506847768563</v>
      </c>
      <c r="N28">
        <f t="shared" si="4"/>
        <v>0</v>
      </c>
      <c r="O28" s="60">
        <f t="shared" si="14"/>
        <v>128.04950684776855</v>
      </c>
      <c r="P28" s="60">
        <f t="shared" si="15"/>
        <v>56.548777369605489</v>
      </c>
      <c r="Q28" s="60">
        <f t="shared" si="5"/>
        <v>0.37699184913070327</v>
      </c>
    </row>
    <row r="29" spans="1:21" x14ac:dyDescent="0.25">
      <c r="A29">
        <f t="shared" si="9"/>
        <v>13.5</v>
      </c>
      <c r="B29" s="60">
        <f t="shared" si="10"/>
        <v>20.773736010141135</v>
      </c>
      <c r="C29" s="62">
        <f t="shared" si="11"/>
        <v>74.785449636508091</v>
      </c>
      <c r="D29">
        <f t="shared" si="0"/>
        <v>3705.5943145380024</v>
      </c>
      <c r="E29">
        <f t="shared" si="12"/>
        <v>0</v>
      </c>
      <c r="F29">
        <f t="shared" si="13"/>
        <v>2</v>
      </c>
      <c r="G29" s="60">
        <f t="shared" si="6"/>
        <v>10.307978450905289</v>
      </c>
      <c r="H29">
        <v>2</v>
      </c>
      <c r="I29" s="60">
        <f t="shared" si="7"/>
        <v>5.1539892254526443</v>
      </c>
      <c r="J29" s="60">
        <f t="shared" si="8"/>
        <v>2000</v>
      </c>
      <c r="K29" s="61">
        <f t="shared" si="1"/>
        <v>182.92328342600243</v>
      </c>
      <c r="L29">
        <f t="shared" si="2"/>
        <v>29.400000000000002</v>
      </c>
      <c r="M29" s="60">
        <f t="shared" si="3"/>
        <v>100.46441557457582</v>
      </c>
      <c r="N29">
        <f t="shared" si="4"/>
        <v>0</v>
      </c>
      <c r="O29" s="60">
        <f t="shared" si="14"/>
        <v>129.86441557457582</v>
      </c>
      <c r="P29" s="60">
        <f t="shared" si="15"/>
        <v>53.058867851426612</v>
      </c>
      <c r="Q29" s="60">
        <f t="shared" si="5"/>
        <v>0.35372578567617741</v>
      </c>
    </row>
    <row r="30" spans="1:21" x14ac:dyDescent="0.25">
      <c r="A30">
        <f t="shared" si="9"/>
        <v>14</v>
      </c>
      <c r="B30" s="60">
        <f t="shared" si="10"/>
        <v>20.950598902979223</v>
      </c>
      <c r="C30" s="62">
        <f t="shared" si="11"/>
        <v>75.422156050725206</v>
      </c>
      <c r="D30">
        <f t="shared" si="0"/>
        <v>3737.1429069449546</v>
      </c>
      <c r="E30">
        <f t="shared" si="12"/>
        <v>0</v>
      </c>
      <c r="F30">
        <f t="shared" si="13"/>
        <v>2</v>
      </c>
      <c r="G30" s="60">
        <f t="shared" si="6"/>
        <v>10.220959511896314</v>
      </c>
      <c r="H30">
        <v>2</v>
      </c>
      <c r="I30" s="60">
        <f t="shared" si="7"/>
        <v>5.1104797559481572</v>
      </c>
      <c r="J30" s="60">
        <f t="shared" si="8"/>
        <v>1999.9999999999998</v>
      </c>
      <c r="K30" s="61">
        <f t="shared" si="1"/>
        <v>181.37906308060863</v>
      </c>
      <c r="L30">
        <f t="shared" si="2"/>
        <v>29.400000000000002</v>
      </c>
      <c r="M30" s="60">
        <f t="shared" si="3"/>
        <v>102.18236032398579</v>
      </c>
      <c r="N30">
        <f t="shared" si="4"/>
        <v>0</v>
      </c>
      <c r="O30" s="60">
        <f t="shared" si="14"/>
        <v>131.5823603239858</v>
      </c>
      <c r="P30" s="60">
        <f t="shared" si="15"/>
        <v>49.796702756622835</v>
      </c>
      <c r="Q30" s="60">
        <f t="shared" si="5"/>
        <v>0.33197801837748558</v>
      </c>
    </row>
    <row r="31" spans="1:21" x14ac:dyDescent="0.25">
      <c r="A31">
        <f t="shared" si="9"/>
        <v>14.5</v>
      </c>
      <c r="B31" s="60">
        <f t="shared" si="10"/>
        <v>21.116587912167965</v>
      </c>
      <c r="C31" s="62">
        <f t="shared" si="11"/>
        <v>76.019716483804672</v>
      </c>
      <c r="D31">
        <f t="shared" si="0"/>
        <v>3766.7518289234235</v>
      </c>
      <c r="E31">
        <f t="shared" si="12"/>
        <v>0</v>
      </c>
      <c r="F31">
        <f t="shared" si="13"/>
        <v>2</v>
      </c>
      <c r="G31" s="60">
        <f t="shared" si="6"/>
        <v>10.140616657766921</v>
      </c>
      <c r="H31">
        <v>2</v>
      </c>
      <c r="I31" s="60">
        <f t="shared" si="7"/>
        <v>5.0703083288834607</v>
      </c>
      <c r="J31" s="60">
        <f t="shared" si="8"/>
        <v>2000.0000000000002</v>
      </c>
      <c r="K31" s="61">
        <f t="shared" si="1"/>
        <v>179.95331517599652</v>
      </c>
      <c r="L31">
        <f t="shared" si="2"/>
        <v>29.400000000000002</v>
      </c>
      <c r="M31" s="60">
        <f t="shared" si="3"/>
        <v>103.80793096944663</v>
      </c>
      <c r="N31">
        <f t="shared" si="4"/>
        <v>0</v>
      </c>
      <c r="O31" s="60">
        <f t="shared" si="14"/>
        <v>133.20793096944664</v>
      </c>
      <c r="P31" s="60">
        <f t="shared" si="15"/>
        <v>46.745384206549886</v>
      </c>
      <c r="Q31" s="60">
        <f t="shared" si="5"/>
        <v>0.31163589471033259</v>
      </c>
    </row>
    <row r="32" spans="1:21" x14ac:dyDescent="0.25">
      <c r="A32">
        <f t="shared" si="9"/>
        <v>15</v>
      </c>
      <c r="B32" s="60">
        <f t="shared" si="10"/>
        <v>21.272405859523133</v>
      </c>
      <c r="C32" s="62">
        <f t="shared" si="11"/>
        <v>76.580661094283286</v>
      </c>
      <c r="D32">
        <f t="shared" si="0"/>
        <v>3794.5464489927476</v>
      </c>
      <c r="E32">
        <f t="shared" si="12"/>
        <v>0</v>
      </c>
      <c r="F32">
        <f t="shared" si="13"/>
        <v>2</v>
      </c>
      <c r="G32" s="60">
        <f t="shared" si="6"/>
        <v>10.066337797022941</v>
      </c>
      <c r="H32">
        <v>2</v>
      </c>
      <c r="I32" s="60">
        <f t="shared" si="7"/>
        <v>5.0331688985114704</v>
      </c>
      <c r="J32" s="60">
        <f t="shared" si="8"/>
        <v>1999.9999999999998</v>
      </c>
      <c r="K32" s="61">
        <f t="shared" si="1"/>
        <v>178.63517766133785</v>
      </c>
      <c r="L32">
        <f t="shared" si="2"/>
        <v>29.400000000000002</v>
      </c>
      <c r="M32" s="60">
        <f t="shared" si="3"/>
        <v>105.34556730025818</v>
      </c>
      <c r="N32">
        <f t="shared" si="4"/>
        <v>0</v>
      </c>
      <c r="O32" s="60">
        <f t="shared" si="14"/>
        <v>134.74556730025819</v>
      </c>
      <c r="P32" s="60">
        <f t="shared" si="15"/>
        <v>43.889610361079662</v>
      </c>
      <c r="Q32" s="60">
        <f t="shared" si="5"/>
        <v>0.29259740240719773</v>
      </c>
    </row>
    <row r="33" spans="1:17" x14ac:dyDescent="0.25">
      <c r="A33">
        <f t="shared" si="9"/>
        <v>15.5</v>
      </c>
      <c r="B33" s="60">
        <f t="shared" si="10"/>
        <v>21.418704560726731</v>
      </c>
      <c r="C33" s="62">
        <f t="shared" si="11"/>
        <v>77.107336418616228</v>
      </c>
      <c r="D33">
        <f t="shared" si="0"/>
        <v>3820.6430372588006</v>
      </c>
      <c r="E33">
        <f t="shared" si="12"/>
        <v>0</v>
      </c>
      <c r="F33">
        <f t="shared" si="13"/>
        <v>2</v>
      </c>
      <c r="G33" s="60">
        <f t="shared" si="6"/>
        <v>9.9975805040033894</v>
      </c>
      <c r="H33">
        <v>2</v>
      </c>
      <c r="I33" s="60">
        <f t="shared" si="7"/>
        <v>4.9987902520016947</v>
      </c>
      <c r="J33" s="60">
        <f t="shared" si="8"/>
        <v>2000</v>
      </c>
      <c r="K33" s="61">
        <f t="shared" si="1"/>
        <v>177.41502476147267</v>
      </c>
      <c r="L33">
        <f t="shared" si="2"/>
        <v>29.400000000000002</v>
      </c>
      <c r="M33" s="60">
        <f t="shared" si="3"/>
        <v>106.79955578582411</v>
      </c>
      <c r="N33">
        <f t="shared" si="4"/>
        <v>0</v>
      </c>
      <c r="O33" s="60">
        <f t="shared" si="14"/>
        <v>136.19955578582412</v>
      </c>
      <c r="P33" s="60">
        <f t="shared" si="15"/>
        <v>41.215468975648548</v>
      </c>
      <c r="Q33" s="60">
        <f t="shared" si="5"/>
        <v>0.27476979317099032</v>
      </c>
    </row>
    <row r="34" spans="1:17" x14ac:dyDescent="0.25">
      <c r="A34">
        <f t="shared" si="9"/>
        <v>16</v>
      </c>
      <c r="B34" s="60">
        <f t="shared" si="10"/>
        <v>21.556089457312225</v>
      </c>
      <c r="C34" s="62">
        <f t="shared" si="11"/>
        <v>77.60192204632402</v>
      </c>
      <c r="D34">
        <f t="shared" ref="D34:D65" si="16">(C34*GearRatio)/(2*PI()*WheelRadius*0.001*60)</f>
        <v>3845.1495916620188</v>
      </c>
      <c r="E34">
        <f t="shared" si="12"/>
        <v>0</v>
      </c>
      <c r="F34">
        <f t="shared" si="13"/>
        <v>2</v>
      </c>
      <c r="G34" s="60">
        <f t="shared" si="6"/>
        <v>9.9338622416363815</v>
      </c>
      <c r="H34">
        <v>2</v>
      </c>
      <c r="I34" s="60">
        <f t="shared" si="7"/>
        <v>4.9669311208181908</v>
      </c>
      <c r="J34" s="60">
        <f t="shared" si="8"/>
        <v>1999.9999999999998</v>
      </c>
      <c r="K34" s="61">
        <f t="shared" ref="K34:K65" si="17">(G34*GearRatio*GearEfficency)/WheelRadius</f>
        <v>176.28429347192977</v>
      </c>
      <c r="L34">
        <f t="shared" ref="L34:L65" si="18">Froll</f>
        <v>29.400000000000002</v>
      </c>
      <c r="M34" s="60">
        <f t="shared" ref="M34:M65" si="19">Cd*Density*Area*C34*C34*0.03858025308642</f>
        <v>108.17402760645786</v>
      </c>
      <c r="N34">
        <f t="shared" ref="N34:N65" si="20">(KerbWeight+LoadWeight)*9.8*SIN(E34*0.01745329)</f>
        <v>0</v>
      </c>
      <c r="O34" s="60">
        <f t="shared" si="14"/>
        <v>137.57402760645786</v>
      </c>
      <c r="P34" s="60">
        <f t="shared" si="15"/>
        <v>38.710265865471911</v>
      </c>
      <c r="Q34" s="60">
        <f t="shared" ref="Q34:Q65" si="21">P34/(KerbWeight+LoadWeight)</f>
        <v>0.25806843910314609</v>
      </c>
    </row>
    <row r="35" spans="1:17" x14ac:dyDescent="0.25">
      <c r="A35">
        <f t="shared" si="9"/>
        <v>16.5</v>
      </c>
      <c r="B35" s="60">
        <f t="shared" si="10"/>
        <v>21.6851236768638</v>
      </c>
      <c r="C35" s="62">
        <f t="shared" si="11"/>
        <v>78.066445236709683</v>
      </c>
      <c r="D35">
        <f t="shared" si="16"/>
        <v>3868.1665622309015</v>
      </c>
      <c r="E35">
        <f t="shared" si="12"/>
        <v>0</v>
      </c>
      <c r="F35">
        <f t="shared" si="13"/>
        <v>2</v>
      </c>
      <c r="G35" s="60">
        <f t="shared" si="6"/>
        <v>9.8747522185356171</v>
      </c>
      <c r="H35">
        <v>2</v>
      </c>
      <c r="I35" s="60">
        <f t="shared" si="7"/>
        <v>4.9373761092678086</v>
      </c>
      <c r="J35" s="60">
        <f t="shared" si="8"/>
        <v>2000</v>
      </c>
      <c r="K35" s="61">
        <f t="shared" si="17"/>
        <v>175.23533905662157</v>
      </c>
      <c r="L35">
        <f t="shared" si="18"/>
        <v>29.400000000000002</v>
      </c>
      <c r="M35" s="60">
        <f t="shared" si="19"/>
        <v>109.47295780713978</v>
      </c>
      <c r="N35">
        <f t="shared" si="20"/>
        <v>0</v>
      </c>
      <c r="O35" s="60">
        <f t="shared" si="14"/>
        <v>138.87295780713978</v>
      </c>
      <c r="P35" s="60">
        <f t="shared" si="15"/>
        <v>36.362381249481786</v>
      </c>
      <c r="Q35" s="60">
        <f t="shared" si="21"/>
        <v>0.24241587499654524</v>
      </c>
    </row>
    <row r="36" spans="1:17" x14ac:dyDescent="0.25">
      <c r="A36">
        <f t="shared" si="9"/>
        <v>17</v>
      </c>
      <c r="B36" s="60">
        <f t="shared" si="10"/>
        <v>21.806331614362072</v>
      </c>
      <c r="C36" s="62">
        <f t="shared" si="11"/>
        <v>78.502793811703469</v>
      </c>
      <c r="D36">
        <f t="shared" si="16"/>
        <v>3889.7874899182093</v>
      </c>
      <c r="E36">
        <f t="shared" si="12"/>
        <v>0</v>
      </c>
      <c r="F36">
        <f t="shared" si="13"/>
        <v>2</v>
      </c>
      <c r="G36" s="60">
        <f t="shared" si="6"/>
        <v>9.8198645661380475</v>
      </c>
      <c r="H36">
        <v>2</v>
      </c>
      <c r="I36" s="60">
        <f t="shared" si="7"/>
        <v>4.9099322830690237</v>
      </c>
      <c r="J36" s="60">
        <f t="shared" si="8"/>
        <v>2000</v>
      </c>
      <c r="K36" s="61">
        <f t="shared" si="17"/>
        <v>174.26131397072058</v>
      </c>
      <c r="L36">
        <f t="shared" si="18"/>
        <v>29.400000000000002</v>
      </c>
      <c r="M36" s="60">
        <f t="shared" si="19"/>
        <v>110.70016543712701</v>
      </c>
      <c r="N36">
        <f t="shared" si="20"/>
        <v>0</v>
      </c>
      <c r="O36" s="60">
        <f t="shared" si="14"/>
        <v>140.100165437127</v>
      </c>
      <c r="P36" s="60">
        <f t="shared" si="15"/>
        <v>34.161148533593575</v>
      </c>
      <c r="Q36" s="60">
        <f t="shared" si="21"/>
        <v>0.22774099022395716</v>
      </c>
    </row>
    <row r="37" spans="1:17" x14ac:dyDescent="0.25">
      <c r="A37">
        <f t="shared" si="9"/>
        <v>17.5</v>
      </c>
      <c r="B37" s="60">
        <f t="shared" si="10"/>
        <v>21.920202109474051</v>
      </c>
      <c r="C37" s="62">
        <f t="shared" si="11"/>
        <v>78.912727594106585</v>
      </c>
      <c r="D37">
        <f t="shared" si="16"/>
        <v>3910.0995733621589</v>
      </c>
      <c r="E37">
        <f t="shared" si="12"/>
        <v>0</v>
      </c>
      <c r="F37">
        <f t="shared" si="13"/>
        <v>2</v>
      </c>
      <c r="G37" s="60">
        <f t="shared" si="6"/>
        <v>9.7688525894010532</v>
      </c>
      <c r="H37">
        <v>2</v>
      </c>
      <c r="I37" s="60">
        <f t="shared" si="7"/>
        <v>4.8844262947005266</v>
      </c>
      <c r="J37" s="60">
        <f t="shared" si="8"/>
        <v>2000</v>
      </c>
      <c r="K37" s="61">
        <f t="shared" si="17"/>
        <v>173.35606583470394</v>
      </c>
      <c r="L37">
        <f t="shared" si="18"/>
        <v>29.400000000000002</v>
      </c>
      <c r="M37" s="60">
        <f t="shared" si="19"/>
        <v>111.85931454658858</v>
      </c>
      <c r="N37">
        <f t="shared" si="20"/>
        <v>0</v>
      </c>
      <c r="O37" s="60">
        <f t="shared" si="14"/>
        <v>141.25931454658857</v>
      </c>
      <c r="P37" s="60">
        <f t="shared" si="15"/>
        <v>32.096751288115371</v>
      </c>
      <c r="Q37" s="60">
        <f t="shared" si="21"/>
        <v>0.21397834192076914</v>
      </c>
    </row>
    <row r="38" spans="1:17" x14ac:dyDescent="0.25">
      <c r="A38">
        <f t="shared" si="9"/>
        <v>18</v>
      </c>
      <c r="B38" s="60">
        <f t="shared" si="10"/>
        <v>22.027191280434437</v>
      </c>
      <c r="C38" s="62">
        <f t="shared" si="11"/>
        <v>79.297888609563969</v>
      </c>
      <c r="D38">
        <f t="shared" si="16"/>
        <v>3929.1841743908035</v>
      </c>
      <c r="E38">
        <f t="shared" si="12"/>
        <v>0</v>
      </c>
      <c r="F38">
        <f t="shared" si="13"/>
        <v>2</v>
      </c>
      <c r="G38" s="60">
        <f t="shared" si="6"/>
        <v>9.7214038962622897</v>
      </c>
      <c r="H38">
        <v>2</v>
      </c>
      <c r="I38" s="60">
        <f t="shared" si="7"/>
        <v>4.8607019481311449</v>
      </c>
      <c r="J38" s="60">
        <f t="shared" si="8"/>
        <v>2000</v>
      </c>
      <c r="K38" s="61">
        <f t="shared" si="17"/>
        <v>172.51405100274113</v>
      </c>
      <c r="L38">
        <f t="shared" si="18"/>
        <v>29.400000000000002</v>
      </c>
      <c r="M38" s="60">
        <f t="shared" si="19"/>
        <v>112.95391592071272</v>
      </c>
      <c r="N38">
        <f t="shared" si="20"/>
        <v>0</v>
      </c>
      <c r="O38" s="60">
        <f t="shared" si="14"/>
        <v>142.35391592071272</v>
      </c>
      <c r="P38" s="60">
        <f t="shared" si="15"/>
        <v>30.160135082028404</v>
      </c>
      <c r="Q38" s="60">
        <f t="shared" si="21"/>
        <v>0.2010675672135227</v>
      </c>
    </row>
    <row r="39" spans="1:17" x14ac:dyDescent="0.25">
      <c r="A39">
        <f t="shared" si="9"/>
        <v>18.5</v>
      </c>
      <c r="B39" s="60">
        <f t="shared" si="10"/>
        <v>22.127725064041197</v>
      </c>
      <c r="C39" s="62">
        <f t="shared" si="11"/>
        <v>79.659810230548317</v>
      </c>
      <c r="D39">
        <f t="shared" si="16"/>
        <v>3947.1172711034196</v>
      </c>
      <c r="E39">
        <f t="shared" si="12"/>
        <v>0</v>
      </c>
      <c r="F39">
        <f t="shared" si="13"/>
        <v>2</v>
      </c>
      <c r="G39" s="60">
        <f t="shared" si="6"/>
        <v>9.6772362507934382</v>
      </c>
      <c r="H39">
        <v>2</v>
      </c>
      <c r="I39" s="60">
        <f t="shared" si="7"/>
        <v>4.8386181253967191</v>
      </c>
      <c r="J39" s="60">
        <f t="shared" si="8"/>
        <v>2000.0000000000002</v>
      </c>
      <c r="K39" s="61">
        <f t="shared" si="17"/>
        <v>171.73026097360611</v>
      </c>
      <c r="L39">
        <f t="shared" si="18"/>
        <v>29.400000000000002</v>
      </c>
      <c r="M39" s="60">
        <f t="shared" si="19"/>
        <v>113.98732944145129</v>
      </c>
      <c r="N39">
        <f t="shared" si="20"/>
        <v>0</v>
      </c>
      <c r="O39" s="60">
        <f t="shared" si="14"/>
        <v>143.3873294414513</v>
      </c>
      <c r="P39" s="60">
        <f t="shared" si="15"/>
        <v>28.342931532154807</v>
      </c>
      <c r="Q39" s="60">
        <f t="shared" si="21"/>
        <v>0.18895287688103204</v>
      </c>
    </row>
    <row r="40" spans="1:17" x14ac:dyDescent="0.25">
      <c r="A40">
        <f t="shared" si="9"/>
        <v>19</v>
      </c>
      <c r="B40" s="60">
        <f t="shared" si="10"/>
        <v>22.222201502481713</v>
      </c>
      <c r="C40" s="62">
        <f t="shared" si="11"/>
        <v>79.999925408934175</v>
      </c>
      <c r="D40">
        <f t="shared" si="16"/>
        <v>3963.9698657918316</v>
      </c>
      <c r="E40">
        <f t="shared" si="12"/>
        <v>0</v>
      </c>
      <c r="F40">
        <f t="shared" si="13"/>
        <v>2</v>
      </c>
      <c r="G40" s="60">
        <f t="shared" si="6"/>
        <v>9.6360940257614001</v>
      </c>
      <c r="H40">
        <v>2</v>
      </c>
      <c r="I40" s="60">
        <f t="shared" si="7"/>
        <v>4.8180470128807</v>
      </c>
      <c r="J40" s="60">
        <f t="shared" si="8"/>
        <v>2000.0000000000002</v>
      </c>
      <c r="K40" s="61">
        <f t="shared" si="17"/>
        <v>171.00015943855189</v>
      </c>
      <c r="L40">
        <f t="shared" si="18"/>
        <v>29.400000000000002</v>
      </c>
      <c r="M40" s="60">
        <f t="shared" si="19"/>
        <v>114.96276697685497</v>
      </c>
      <c r="N40">
        <f t="shared" si="20"/>
        <v>0</v>
      </c>
      <c r="O40" s="60">
        <f t="shared" si="14"/>
        <v>144.36276697685497</v>
      </c>
      <c r="P40" s="60">
        <f t="shared" si="15"/>
        <v>26.637392461696919</v>
      </c>
      <c r="Q40" s="60">
        <f t="shared" si="21"/>
        <v>0.17758261641131279</v>
      </c>
    </row>
    <row r="41" spans="1:17" x14ac:dyDescent="0.25">
      <c r="A41">
        <f t="shared" si="9"/>
        <v>19.5</v>
      </c>
      <c r="B41" s="60">
        <f t="shared" si="10"/>
        <v>22.31099281068737</v>
      </c>
      <c r="C41" s="62">
        <f t="shared" si="11"/>
        <v>80.319574118474534</v>
      </c>
      <c r="D41">
        <f t="shared" si="16"/>
        <v>3979.8083537126681</v>
      </c>
      <c r="E41">
        <f t="shared" si="12"/>
        <v>0</v>
      </c>
      <c r="F41">
        <f t="shared" si="13"/>
        <v>2</v>
      </c>
      <c r="G41" s="60">
        <f t="shared" si="6"/>
        <v>9.5977451543418262</v>
      </c>
      <c r="H41">
        <v>2</v>
      </c>
      <c r="I41" s="60">
        <f t="shared" si="7"/>
        <v>4.7988725771709131</v>
      </c>
      <c r="J41" s="60">
        <f t="shared" si="8"/>
        <v>2000</v>
      </c>
      <c r="K41" s="61">
        <f t="shared" si="17"/>
        <v>170.31962818704019</v>
      </c>
      <c r="L41">
        <f t="shared" si="18"/>
        <v>29.400000000000002</v>
      </c>
      <c r="M41" s="60">
        <f t="shared" si="19"/>
        <v>115.88329570754601</v>
      </c>
      <c r="N41">
        <f t="shared" si="20"/>
        <v>0</v>
      </c>
      <c r="O41" s="60">
        <f t="shared" si="14"/>
        <v>145.28329570754602</v>
      </c>
      <c r="P41" s="60">
        <f t="shared" si="15"/>
        <v>25.036332479494178</v>
      </c>
      <c r="Q41" s="60">
        <f t="shared" si="21"/>
        <v>0.16690888319662786</v>
      </c>
    </row>
    <row r="42" spans="1:17" x14ac:dyDescent="0.25">
      <c r="A42">
        <f t="shared" si="9"/>
        <v>20</v>
      </c>
      <c r="B42" s="60">
        <f t="shared" si="10"/>
        <v>22.394447252285683</v>
      </c>
      <c r="C42" s="62">
        <f t="shared" si="11"/>
        <v>80.620010108228456</v>
      </c>
      <c r="D42">
        <f t="shared" si="16"/>
        <v>3994.6948577174694</v>
      </c>
      <c r="E42">
        <f t="shared" si="12"/>
        <v>0</v>
      </c>
      <c r="F42">
        <f t="shared" si="13"/>
        <v>2</v>
      </c>
      <c r="G42" s="60">
        <f t="shared" si="6"/>
        <v>9.5619784996244732</v>
      </c>
      <c r="H42">
        <v>2</v>
      </c>
      <c r="I42" s="60">
        <f t="shared" si="7"/>
        <v>4.7809892498122366</v>
      </c>
      <c r="J42" s="60">
        <f t="shared" si="8"/>
        <v>2000</v>
      </c>
      <c r="K42" s="61">
        <f t="shared" si="17"/>
        <v>169.68492042652022</v>
      </c>
      <c r="L42">
        <f t="shared" si="18"/>
        <v>29.400000000000002</v>
      </c>
      <c r="M42" s="60">
        <f t="shared" si="19"/>
        <v>116.7518418090949</v>
      </c>
      <c r="N42">
        <f t="shared" si="20"/>
        <v>0</v>
      </c>
      <c r="O42" s="60">
        <f t="shared" si="14"/>
        <v>146.15184180909489</v>
      </c>
      <c r="P42" s="60">
        <f t="shared" si="15"/>
        <v>23.533078617425332</v>
      </c>
      <c r="Q42" s="60">
        <f t="shared" si="21"/>
        <v>0.15688719078283556</v>
      </c>
    </row>
    <row r="43" spans="1:17" x14ac:dyDescent="0.25">
      <c r="A43">
        <f t="shared" si="9"/>
        <v>20.5</v>
      </c>
      <c r="B43" s="60">
        <f t="shared" si="10"/>
        <v>22.4728908476771</v>
      </c>
      <c r="C43" s="62">
        <f t="shared" si="11"/>
        <v>80.902407051637567</v>
      </c>
      <c r="D43">
        <f t="shared" si="16"/>
        <v>4008.6875329373938</v>
      </c>
      <c r="E43">
        <f t="shared" si="12"/>
        <v>0</v>
      </c>
      <c r="F43">
        <f t="shared" si="13"/>
        <v>2</v>
      </c>
      <c r="G43" s="60">
        <f t="shared" si="6"/>
        <v>9.5286015755050943</v>
      </c>
      <c r="H43">
        <v>2</v>
      </c>
      <c r="I43" s="60">
        <f t="shared" si="7"/>
        <v>4.7643007877525472</v>
      </c>
      <c r="J43" s="60">
        <f t="shared" si="8"/>
        <v>2000</v>
      </c>
      <c r="K43" s="61">
        <f t="shared" si="17"/>
        <v>169.09262033784074</v>
      </c>
      <c r="L43">
        <f t="shared" si="18"/>
        <v>29.400000000000002</v>
      </c>
      <c r="M43" s="60">
        <f t="shared" si="19"/>
        <v>117.57119441780347</v>
      </c>
      <c r="N43">
        <f t="shared" si="20"/>
        <v>0</v>
      </c>
      <c r="O43" s="60">
        <f t="shared" si="14"/>
        <v>146.97119441780347</v>
      </c>
      <c r="P43" s="60">
        <f t="shared" si="15"/>
        <v>22.121425920037268</v>
      </c>
      <c r="Q43" s="60">
        <f t="shared" si="21"/>
        <v>0.14747617280024847</v>
      </c>
    </row>
    <row r="44" spans="1:17" x14ac:dyDescent="0.25">
      <c r="A44">
        <f t="shared" si="9"/>
        <v>21</v>
      </c>
      <c r="B44" s="60">
        <f t="shared" si="10"/>
        <v>22.546628934077223</v>
      </c>
      <c r="C44" s="62">
        <f t="shared" si="11"/>
        <v>81.167864162678001</v>
      </c>
      <c r="D44">
        <f t="shared" si="16"/>
        <v>4021.8408450616944</v>
      </c>
      <c r="E44">
        <f t="shared" si="12"/>
        <v>0</v>
      </c>
      <c r="F44">
        <f t="shared" si="13"/>
        <v>2</v>
      </c>
      <c r="G44" s="60">
        <f t="shared" si="6"/>
        <v>9.4974385644713255</v>
      </c>
      <c r="H44">
        <v>2</v>
      </c>
      <c r="I44" s="60">
        <f t="shared" si="7"/>
        <v>4.7487192822356628</v>
      </c>
      <c r="J44" s="60">
        <f t="shared" si="8"/>
        <v>2000</v>
      </c>
      <c r="K44" s="61">
        <f t="shared" si="17"/>
        <v>168.5396078992828</v>
      </c>
      <c r="L44">
        <f t="shared" si="18"/>
        <v>29.400000000000002</v>
      </c>
      <c r="M44" s="60">
        <f t="shared" si="19"/>
        <v>118.34400981557668</v>
      </c>
      <c r="N44">
        <f t="shared" si="20"/>
        <v>0</v>
      </c>
      <c r="O44" s="60">
        <f t="shared" si="14"/>
        <v>147.74400981557667</v>
      </c>
      <c r="P44" s="60">
        <f t="shared" si="15"/>
        <v>20.795598083706125</v>
      </c>
      <c r="Q44" s="60">
        <f t="shared" si="21"/>
        <v>0.13863732055804084</v>
      </c>
    </row>
    <row r="45" spans="1:17" x14ac:dyDescent="0.25">
      <c r="A45">
        <f t="shared" si="9"/>
        <v>21.5</v>
      </c>
      <c r="B45" s="60">
        <f t="shared" si="10"/>
        <v>22.615947594356243</v>
      </c>
      <c r="C45" s="62">
        <f t="shared" si="11"/>
        <v>81.417411339682474</v>
      </c>
      <c r="D45">
        <f t="shared" si="16"/>
        <v>4034.2058252123966</v>
      </c>
      <c r="E45">
        <f t="shared" si="12"/>
        <v>0</v>
      </c>
      <c r="F45">
        <f t="shared" si="13"/>
        <v>2</v>
      </c>
      <c r="G45" s="60">
        <f t="shared" si="6"/>
        <v>9.4683285873357335</v>
      </c>
      <c r="H45">
        <v>2</v>
      </c>
      <c r="I45" s="60">
        <f t="shared" si="7"/>
        <v>4.7341642936678667</v>
      </c>
      <c r="J45" s="60">
        <f t="shared" si="8"/>
        <v>2000</v>
      </c>
      <c r="K45" s="61">
        <f t="shared" si="17"/>
        <v>168.02302818159524</v>
      </c>
      <c r="L45">
        <f t="shared" si="18"/>
        <v>29.400000000000002</v>
      </c>
      <c r="M45" s="60">
        <f t="shared" si="19"/>
        <v>119.07281577715572</v>
      </c>
      <c r="N45">
        <f t="shared" si="20"/>
        <v>0</v>
      </c>
      <c r="O45" s="60">
        <f t="shared" si="14"/>
        <v>148.47281577715572</v>
      </c>
      <c r="P45" s="60">
        <f t="shared" si="15"/>
        <v>19.55021240443952</v>
      </c>
      <c r="Q45" s="60">
        <f t="shared" si="21"/>
        <v>0.13033474936293013</v>
      </c>
    </row>
    <row r="46" spans="1:17" x14ac:dyDescent="0.25">
      <c r="A46">
        <f t="shared" si="9"/>
        <v>22</v>
      </c>
      <c r="B46" s="60">
        <f t="shared" si="10"/>
        <v>22.681114969037708</v>
      </c>
      <c r="C46" s="62">
        <f t="shared" si="11"/>
        <v>81.652013888535748</v>
      </c>
      <c r="D46">
        <f t="shared" si="16"/>
        <v>4045.8303039770794</v>
      </c>
      <c r="E46">
        <f t="shared" si="12"/>
        <v>0</v>
      </c>
      <c r="F46">
        <f t="shared" si="13"/>
        <v>2</v>
      </c>
      <c r="G46" s="60">
        <f t="shared" si="6"/>
        <v>9.4411241876622398</v>
      </c>
      <c r="H46">
        <v>2</v>
      </c>
      <c r="I46" s="60">
        <f t="shared" si="7"/>
        <v>4.7205620938311199</v>
      </c>
      <c r="J46" s="60">
        <f t="shared" si="8"/>
        <v>1999.9999999999998</v>
      </c>
      <c r="K46" s="61">
        <f t="shared" si="17"/>
        <v>167.54026445293496</v>
      </c>
      <c r="L46">
        <f t="shared" si="18"/>
        <v>29.400000000000002</v>
      </c>
      <c r="M46" s="60">
        <f t="shared" si="19"/>
        <v>119.7600160299711</v>
      </c>
      <c r="N46">
        <f t="shared" si="20"/>
        <v>0</v>
      </c>
      <c r="O46" s="60">
        <f t="shared" si="14"/>
        <v>149.1600160299711</v>
      </c>
      <c r="P46" s="60">
        <f t="shared" si="15"/>
        <v>18.380248422963859</v>
      </c>
      <c r="Q46" s="60">
        <f t="shared" si="21"/>
        <v>0.12253498948642573</v>
      </c>
    </row>
    <row r="47" spans="1:17" x14ac:dyDescent="0.25">
      <c r="A47">
        <f t="shared" si="9"/>
        <v>22.5</v>
      </c>
      <c r="B47" s="60">
        <f t="shared" si="10"/>
        <v>22.74238246378092</v>
      </c>
      <c r="C47" s="62">
        <f t="shared" si="11"/>
        <v>81.872576869611322</v>
      </c>
      <c r="D47">
        <f t="shared" si="16"/>
        <v>4056.7591267981456</v>
      </c>
      <c r="E47">
        <f t="shared" si="12"/>
        <v>0</v>
      </c>
      <c r="F47">
        <f t="shared" si="13"/>
        <v>2</v>
      </c>
      <c r="G47" s="60">
        <f t="shared" si="6"/>
        <v>9.4156899998651262</v>
      </c>
      <c r="H47">
        <v>2</v>
      </c>
      <c r="I47" s="60">
        <f t="shared" si="7"/>
        <v>4.7078449999325631</v>
      </c>
      <c r="J47" s="60">
        <f t="shared" si="8"/>
        <v>1999.9999999999998</v>
      </c>
      <c r="K47" s="61">
        <f t="shared" si="17"/>
        <v>167.08891454322372</v>
      </c>
      <c r="L47">
        <f t="shared" si="18"/>
        <v>29.400000000000002</v>
      </c>
      <c r="M47" s="60">
        <f t="shared" si="19"/>
        <v>120.40789478326644</v>
      </c>
      <c r="N47">
        <f t="shared" si="20"/>
        <v>0</v>
      </c>
      <c r="O47" s="60">
        <f t="shared" si="14"/>
        <v>149.80789478326645</v>
      </c>
      <c r="P47" s="60">
        <f t="shared" si="15"/>
        <v>17.281019759957275</v>
      </c>
      <c r="Q47" s="60">
        <f t="shared" si="21"/>
        <v>0.11520679839971516</v>
      </c>
    </row>
    <row r="48" spans="1:17" x14ac:dyDescent="0.25">
      <c r="A48">
        <f t="shared" si="9"/>
        <v>23</v>
      </c>
      <c r="B48" s="60">
        <f t="shared" si="10"/>
        <v>22.79998586298078</v>
      </c>
      <c r="C48" s="62">
        <f t="shared" si="11"/>
        <v>82.079949106730808</v>
      </c>
      <c r="D48">
        <f t="shared" si="16"/>
        <v>4067.0343526154397</v>
      </c>
      <c r="E48">
        <f t="shared" si="12"/>
        <v>0</v>
      </c>
      <c r="F48">
        <f t="shared" si="13"/>
        <v>2</v>
      </c>
      <c r="G48" s="60">
        <f t="shared" si="6"/>
        <v>9.3919015750361012</v>
      </c>
      <c r="H48">
        <v>2</v>
      </c>
      <c r="I48" s="60">
        <f t="shared" si="7"/>
        <v>4.6959507875180506</v>
      </c>
      <c r="J48" s="60">
        <f t="shared" si="8"/>
        <v>2000</v>
      </c>
      <c r="K48" s="61">
        <f t="shared" si="17"/>
        <v>166.66677000751451</v>
      </c>
      <c r="L48">
        <f t="shared" si="18"/>
        <v>29.400000000000002</v>
      </c>
      <c r="M48" s="60">
        <f t="shared" si="19"/>
        <v>121.01862128895141</v>
      </c>
      <c r="N48">
        <f t="shared" si="20"/>
        <v>0</v>
      </c>
      <c r="O48" s="60">
        <f t="shared" si="14"/>
        <v>150.41862128895141</v>
      </c>
      <c r="P48" s="60">
        <f t="shared" si="15"/>
        <v>16.248148718563101</v>
      </c>
      <c r="Q48" s="60">
        <f t="shared" si="21"/>
        <v>0.10832099145708735</v>
      </c>
    </row>
    <row r="49" spans="1:17" x14ac:dyDescent="0.25">
      <c r="A49">
        <f t="shared" si="9"/>
        <v>23.5</v>
      </c>
      <c r="B49" s="60">
        <f t="shared" si="10"/>
        <v>22.854146358709322</v>
      </c>
      <c r="C49" s="62">
        <f t="shared" si="11"/>
        <v>82.274926891353559</v>
      </c>
      <c r="D49">
        <f t="shared" si="16"/>
        <v>4076.6954374076154</v>
      </c>
      <c r="E49">
        <f t="shared" si="12"/>
        <v>0</v>
      </c>
      <c r="F49">
        <f t="shared" si="13"/>
        <v>2</v>
      </c>
      <c r="G49" s="60">
        <f t="shared" si="6"/>
        <v>9.3696443427092522</v>
      </c>
      <c r="H49">
        <v>2</v>
      </c>
      <c r="I49" s="60">
        <f t="shared" si="7"/>
        <v>4.6848221713546261</v>
      </c>
      <c r="J49" s="60">
        <f t="shared" si="8"/>
        <v>2000</v>
      </c>
      <c r="K49" s="61">
        <f t="shared" si="17"/>
        <v>166.27179770168425</v>
      </c>
      <c r="L49">
        <f t="shared" si="18"/>
        <v>29.400000000000002</v>
      </c>
      <c r="M49" s="60">
        <f t="shared" si="19"/>
        <v>121.59425440189773</v>
      </c>
      <c r="N49">
        <f t="shared" si="20"/>
        <v>0</v>
      </c>
      <c r="O49" s="60">
        <f t="shared" si="14"/>
        <v>150.99425440189773</v>
      </c>
      <c r="P49" s="60">
        <f t="shared" si="15"/>
        <v>15.277543299786515</v>
      </c>
      <c r="Q49" s="60">
        <f t="shared" si="21"/>
        <v>0.10185028866524344</v>
      </c>
    </row>
    <row r="50" spans="1:17" x14ac:dyDescent="0.25">
      <c r="A50">
        <f t="shared" si="9"/>
        <v>24</v>
      </c>
      <c r="B50" s="60">
        <f t="shared" si="10"/>
        <v>22.905071503041942</v>
      </c>
      <c r="C50" s="62">
        <f t="shared" si="11"/>
        <v>82.458257410950992</v>
      </c>
      <c r="D50">
        <f t="shared" si="16"/>
        <v>4085.7794040669523</v>
      </c>
      <c r="E50">
        <f t="shared" si="12"/>
        <v>0</v>
      </c>
      <c r="F50">
        <f t="shared" si="13"/>
        <v>2</v>
      </c>
      <c r="G50" s="60">
        <f t="shared" si="6"/>
        <v>9.3488126901892219</v>
      </c>
      <c r="H50">
        <v>2</v>
      </c>
      <c r="I50" s="60">
        <f t="shared" si="7"/>
        <v>4.6744063450946109</v>
      </c>
      <c r="J50" s="60">
        <f t="shared" si="8"/>
        <v>2000</v>
      </c>
      <c r="K50" s="61">
        <f t="shared" si="17"/>
        <v>165.90212344437933</v>
      </c>
      <c r="L50">
        <f t="shared" si="18"/>
        <v>29.400000000000002</v>
      </c>
      <c r="M50" s="60">
        <f t="shared" si="19"/>
        <v>122.13674711212042</v>
      </c>
      <c r="N50">
        <f t="shared" si="20"/>
        <v>0</v>
      </c>
      <c r="O50" s="60">
        <f t="shared" si="14"/>
        <v>151.53674711212042</v>
      </c>
      <c r="P50" s="60">
        <f t="shared" si="15"/>
        <v>14.365376332258904</v>
      </c>
      <c r="Q50" s="60">
        <f t="shared" si="21"/>
        <v>9.576917554839269E-2</v>
      </c>
    </row>
    <row r="51" spans="1:17" x14ac:dyDescent="0.25">
      <c r="A51">
        <f t="shared" si="9"/>
        <v>24.5</v>
      </c>
      <c r="B51" s="60">
        <f t="shared" si="10"/>
        <v>22.952956090816137</v>
      </c>
      <c r="C51" s="62">
        <f t="shared" si="11"/>
        <v>82.630641926938097</v>
      </c>
      <c r="D51">
        <f t="shared" si="16"/>
        <v>4094.3209998648113</v>
      </c>
      <c r="E51">
        <f t="shared" si="12"/>
        <v>0</v>
      </c>
      <c r="F51">
        <f t="shared" si="13"/>
        <v>2</v>
      </c>
      <c r="G51" s="60">
        <f t="shared" si="6"/>
        <v>9.3293091438888407</v>
      </c>
      <c r="H51">
        <v>2</v>
      </c>
      <c r="I51" s="60">
        <f t="shared" si="7"/>
        <v>4.6646545719444203</v>
      </c>
      <c r="J51" s="60">
        <f t="shared" si="8"/>
        <v>2000</v>
      </c>
      <c r="K51" s="61">
        <f t="shared" si="17"/>
        <v>165.55601748920017</v>
      </c>
      <c r="L51">
        <f t="shared" si="18"/>
        <v>29.400000000000002</v>
      </c>
      <c r="M51" s="60">
        <f t="shared" si="19"/>
        <v>122.64795102552395</v>
      </c>
      <c r="N51">
        <f t="shared" si="20"/>
        <v>0</v>
      </c>
      <c r="O51" s="60">
        <f t="shared" si="14"/>
        <v>152.04795102552396</v>
      </c>
      <c r="P51" s="60">
        <f t="shared" si="15"/>
        <v>13.508066463676215</v>
      </c>
      <c r="Q51" s="60">
        <f t="shared" si="21"/>
        <v>9.0053776424508097E-2</v>
      </c>
    </row>
    <row r="52" spans="1:17" x14ac:dyDescent="0.25">
      <c r="A52">
        <f t="shared" si="9"/>
        <v>25</v>
      </c>
      <c r="B52" s="60">
        <f t="shared" si="10"/>
        <v>22.997982979028393</v>
      </c>
      <c r="C52" s="62">
        <f t="shared" si="11"/>
        <v>82.792738724502215</v>
      </c>
      <c r="D52">
        <f t="shared" si="16"/>
        <v>4102.3528426146768</v>
      </c>
      <c r="E52">
        <f t="shared" si="12"/>
        <v>0</v>
      </c>
      <c r="F52">
        <f t="shared" si="13"/>
        <v>2</v>
      </c>
      <c r="G52" s="60">
        <f t="shared" si="6"/>
        <v>9.3110436394616691</v>
      </c>
      <c r="H52">
        <v>2</v>
      </c>
      <c r="I52" s="60">
        <f t="shared" si="7"/>
        <v>4.6555218197308346</v>
      </c>
      <c r="J52" s="60">
        <f t="shared" si="8"/>
        <v>2000</v>
      </c>
      <c r="K52" s="61">
        <f t="shared" si="17"/>
        <v>165.2318815726222</v>
      </c>
      <c r="L52">
        <f t="shared" si="18"/>
        <v>29.400000000000002</v>
      </c>
      <c r="M52" s="60">
        <f t="shared" si="19"/>
        <v>123.12962077367358</v>
      </c>
      <c r="N52">
        <f t="shared" si="20"/>
        <v>0</v>
      </c>
      <c r="O52" s="60">
        <f t="shared" si="14"/>
        <v>152.52962077367357</v>
      </c>
      <c r="P52" s="60">
        <f t="shared" si="15"/>
        <v>12.702260798948629</v>
      </c>
      <c r="Q52" s="60">
        <f t="shared" si="21"/>
        <v>8.4681738659657529E-2</v>
      </c>
    </row>
    <row r="53" spans="1:17" x14ac:dyDescent="0.25">
      <c r="A53">
        <f t="shared" si="9"/>
        <v>25.5</v>
      </c>
      <c r="B53" s="60">
        <f t="shared" si="10"/>
        <v>23.04032384835822</v>
      </c>
      <c r="C53" s="62">
        <f t="shared" si="11"/>
        <v>82.945165854089595</v>
      </c>
      <c r="D53">
        <f t="shared" si="16"/>
        <v>4109.9055565119079</v>
      </c>
      <c r="E53">
        <f t="shared" si="12"/>
        <v>0</v>
      </c>
      <c r="F53">
        <f t="shared" si="13"/>
        <v>2</v>
      </c>
      <c r="G53" s="60">
        <f t="shared" si="6"/>
        <v>9.2939328694630579</v>
      </c>
      <c r="H53">
        <v>2</v>
      </c>
      <c r="I53" s="60">
        <f t="shared" si="7"/>
        <v>4.6469664347315289</v>
      </c>
      <c r="J53" s="60">
        <f t="shared" si="8"/>
        <v>1999.9999999999998</v>
      </c>
      <c r="K53" s="61">
        <f t="shared" si="17"/>
        <v>164.92823733772195</v>
      </c>
      <c r="L53">
        <f t="shared" si="18"/>
        <v>29.400000000000002</v>
      </c>
      <c r="M53" s="60">
        <f t="shared" si="19"/>
        <v>123.58341833641045</v>
      </c>
      <c r="N53">
        <f t="shared" si="20"/>
        <v>0</v>
      </c>
      <c r="O53" s="60">
        <f t="shared" si="14"/>
        <v>152.98341833641044</v>
      </c>
      <c r="P53" s="60">
        <f t="shared" si="15"/>
        <v>11.944819001311515</v>
      </c>
      <c r="Q53" s="60">
        <f t="shared" si="21"/>
        <v>7.96321266754101E-2</v>
      </c>
    </row>
    <row r="54" spans="1:17" x14ac:dyDescent="0.25">
      <c r="A54">
        <f t="shared" si="9"/>
        <v>26</v>
      </c>
      <c r="B54" s="60">
        <f t="shared" si="10"/>
        <v>23.080139911695927</v>
      </c>
      <c r="C54" s="62">
        <f t="shared" si="11"/>
        <v>83.08850368210534</v>
      </c>
      <c r="D54">
        <f t="shared" si="16"/>
        <v>4117.0078985200798</v>
      </c>
      <c r="E54">
        <f t="shared" si="12"/>
        <v>0</v>
      </c>
      <c r="F54">
        <f t="shared" si="13"/>
        <v>2</v>
      </c>
      <c r="G54" s="60">
        <f t="shared" si="6"/>
        <v>9.2778996989015816</v>
      </c>
      <c r="H54">
        <v>2</v>
      </c>
      <c r="I54" s="60">
        <f t="shared" si="7"/>
        <v>4.6389498494507908</v>
      </c>
      <c r="J54" s="60">
        <f t="shared" si="8"/>
        <v>2000</v>
      </c>
      <c r="K54" s="61">
        <f t="shared" si="17"/>
        <v>164.64371596267225</v>
      </c>
      <c r="L54">
        <f t="shared" si="18"/>
        <v>29.400000000000002</v>
      </c>
      <c r="M54" s="60">
        <f t="shared" si="19"/>
        <v>124.01091726410171</v>
      </c>
      <c r="N54">
        <f t="shared" si="20"/>
        <v>0</v>
      </c>
      <c r="O54" s="60">
        <f t="shared" si="14"/>
        <v>153.4109172641017</v>
      </c>
      <c r="P54" s="60">
        <f t="shared" si="15"/>
        <v>11.232798698570548</v>
      </c>
      <c r="Q54" s="60">
        <f t="shared" si="21"/>
        <v>7.4885324657136987E-2</v>
      </c>
    </row>
    <row r="55" spans="1:17" x14ac:dyDescent="0.25">
      <c r="A55">
        <f t="shared" si="9"/>
        <v>26.5</v>
      </c>
      <c r="B55" s="60">
        <f t="shared" si="10"/>
        <v>23.117582574024496</v>
      </c>
      <c r="C55" s="62">
        <f t="shared" si="11"/>
        <v>83.223297266488188</v>
      </c>
      <c r="D55">
        <f t="shared" si="16"/>
        <v>4123.6868760799262</v>
      </c>
      <c r="E55">
        <f t="shared" si="12"/>
        <v>0</v>
      </c>
      <c r="F55">
        <f t="shared" si="13"/>
        <v>2</v>
      </c>
      <c r="G55" s="60">
        <f t="shared" si="6"/>
        <v>9.2628726404091157</v>
      </c>
      <c r="H55">
        <v>2</v>
      </c>
      <c r="I55" s="60">
        <f t="shared" si="7"/>
        <v>4.6314363202045579</v>
      </c>
      <c r="J55" s="60">
        <f t="shared" si="8"/>
        <v>2000.0000000000002</v>
      </c>
      <c r="K55" s="61">
        <f t="shared" si="17"/>
        <v>164.37704884721714</v>
      </c>
      <c r="L55">
        <f t="shared" si="18"/>
        <v>29.400000000000002</v>
      </c>
      <c r="M55" s="60">
        <f t="shared" si="19"/>
        <v>124.4136067889353</v>
      </c>
      <c r="N55">
        <f t="shared" si="20"/>
        <v>0</v>
      </c>
      <c r="O55" s="60">
        <f t="shared" si="14"/>
        <v>153.81360678893529</v>
      </c>
      <c r="P55" s="60">
        <f t="shared" si="15"/>
        <v>10.563442058281851</v>
      </c>
      <c r="Q55" s="60">
        <f t="shared" si="21"/>
        <v>7.0422947055212334E-2</v>
      </c>
    </row>
    <row r="56" spans="1:17" x14ac:dyDescent="0.25">
      <c r="A56">
        <f t="shared" si="9"/>
        <v>27</v>
      </c>
      <c r="B56" s="60">
        <f t="shared" si="10"/>
        <v>23.152794047552103</v>
      </c>
      <c r="C56" s="62">
        <f t="shared" si="11"/>
        <v>83.350058571187574</v>
      </c>
      <c r="D56">
        <f t="shared" si="16"/>
        <v>4129.9678568359495</v>
      </c>
      <c r="E56">
        <f t="shared" si="12"/>
        <v>0</v>
      </c>
      <c r="F56">
        <f t="shared" si="13"/>
        <v>2</v>
      </c>
      <c r="G56" s="60">
        <f t="shared" si="6"/>
        <v>9.2487853819081547</v>
      </c>
      <c r="H56">
        <v>2</v>
      </c>
      <c r="I56" s="60">
        <f t="shared" si="7"/>
        <v>4.6243926909540773</v>
      </c>
      <c r="J56" s="60">
        <f t="shared" si="8"/>
        <v>2000</v>
      </c>
      <c r="K56" s="61">
        <f t="shared" si="17"/>
        <v>164.12705923075256</v>
      </c>
      <c r="L56">
        <f t="shared" si="18"/>
        <v>29.400000000000002</v>
      </c>
      <c r="M56" s="60">
        <f t="shared" si="19"/>
        <v>124.79289581696811</v>
      </c>
      <c r="N56">
        <f t="shared" si="20"/>
        <v>0</v>
      </c>
      <c r="O56" s="60">
        <f t="shared" si="14"/>
        <v>154.1928958169681</v>
      </c>
      <c r="P56" s="60">
        <f t="shared" si="15"/>
        <v>9.9341634137844608</v>
      </c>
      <c r="Q56" s="60">
        <f t="shared" si="21"/>
        <v>6.6227756091896406E-2</v>
      </c>
    </row>
    <row r="57" spans="1:17" x14ac:dyDescent="0.25">
      <c r="A57">
        <f t="shared" si="9"/>
        <v>27.5</v>
      </c>
      <c r="B57" s="60">
        <f t="shared" si="10"/>
        <v>23.185907925598052</v>
      </c>
      <c r="C57" s="62">
        <f t="shared" si="11"/>
        <v>83.469268532152995</v>
      </c>
      <c r="D57">
        <f t="shared" si="16"/>
        <v>4135.8746710055084</v>
      </c>
      <c r="E57">
        <f t="shared" si="12"/>
        <v>0</v>
      </c>
      <c r="F57">
        <f t="shared" si="13"/>
        <v>2</v>
      </c>
      <c r="G57" s="60">
        <f t="shared" si="6"/>
        <v>9.2355763606271069</v>
      </c>
      <c r="H57">
        <v>2</v>
      </c>
      <c r="I57" s="60">
        <f t="shared" si="7"/>
        <v>4.6177881803135534</v>
      </c>
      <c r="J57" s="60">
        <f t="shared" si="8"/>
        <v>2000.0000000000002</v>
      </c>
      <c r="K57" s="61">
        <f t="shared" si="17"/>
        <v>163.89265463288879</v>
      </c>
      <c r="L57">
        <f t="shared" si="18"/>
        <v>29.400000000000002</v>
      </c>
      <c r="M57" s="60">
        <f t="shared" si="19"/>
        <v>125.15011679464379</v>
      </c>
      <c r="N57">
        <f t="shared" si="20"/>
        <v>0</v>
      </c>
      <c r="O57" s="60">
        <f t="shared" si="14"/>
        <v>154.5501167946438</v>
      </c>
      <c r="P57" s="60">
        <f t="shared" si="15"/>
        <v>9.3425378382449935</v>
      </c>
      <c r="Q57" s="60">
        <f t="shared" si="21"/>
        <v>6.228358558829996E-2</v>
      </c>
    </row>
    <row r="58" spans="1:17" x14ac:dyDescent="0.25">
      <c r="A58">
        <f t="shared" si="9"/>
        <v>28</v>
      </c>
      <c r="B58" s="60">
        <f t="shared" si="10"/>
        <v>23.2170497183922</v>
      </c>
      <c r="C58" s="62">
        <f t="shared" si="11"/>
        <v>83.581378986211917</v>
      </c>
      <c r="D58">
        <f t="shared" si="16"/>
        <v>4141.4297069540817</v>
      </c>
      <c r="E58">
        <f t="shared" si="12"/>
        <v>0</v>
      </c>
      <c r="F58">
        <f t="shared" si="13"/>
        <v>2</v>
      </c>
      <c r="G58" s="60">
        <f t="shared" si="6"/>
        <v>9.2231883781381274</v>
      </c>
      <c r="H58">
        <v>2</v>
      </c>
      <c r="I58" s="60">
        <f t="shared" si="7"/>
        <v>4.6115941890690637</v>
      </c>
      <c r="J58" s="60">
        <f t="shared" si="8"/>
        <v>1999.9999999999998</v>
      </c>
      <c r="K58" s="61">
        <f t="shared" si="17"/>
        <v>163.67282002198996</v>
      </c>
      <c r="L58">
        <f t="shared" si="18"/>
        <v>29.400000000000002</v>
      </c>
      <c r="M58" s="60">
        <f t="shared" si="19"/>
        <v>125.48652944524385</v>
      </c>
      <c r="N58">
        <f t="shared" si="20"/>
        <v>0</v>
      </c>
      <c r="O58" s="60">
        <f t="shared" si="14"/>
        <v>154.88652944524384</v>
      </c>
      <c r="P58" s="60">
        <f t="shared" si="15"/>
        <v>8.7862905767461257</v>
      </c>
      <c r="Q58" s="60">
        <f t="shared" si="21"/>
        <v>5.857527051164084E-2</v>
      </c>
    </row>
    <row r="59" spans="1:17" x14ac:dyDescent="0.25">
      <c r="A59">
        <f t="shared" si="9"/>
        <v>28.5</v>
      </c>
      <c r="B59" s="60">
        <f t="shared" si="10"/>
        <v>23.24633735364802</v>
      </c>
      <c r="C59" s="62">
        <f t="shared" si="11"/>
        <v>83.68681447313287</v>
      </c>
      <c r="D59">
        <f t="shared" si="16"/>
        <v>4146.6540004868984</v>
      </c>
      <c r="E59">
        <f t="shared" si="12"/>
        <v>0</v>
      </c>
      <c r="F59">
        <f t="shared" si="13"/>
        <v>2</v>
      </c>
      <c r="G59" s="60">
        <f t="shared" si="6"/>
        <v>9.2115682517928406</v>
      </c>
      <c r="H59">
        <v>2</v>
      </c>
      <c r="I59" s="60">
        <f t="shared" si="7"/>
        <v>4.6057841258964203</v>
      </c>
      <c r="J59" s="60">
        <f t="shared" si="8"/>
        <v>2000.0000000000002</v>
      </c>
      <c r="K59" s="61">
        <f t="shared" si="17"/>
        <v>163.46661162962394</v>
      </c>
      <c r="L59">
        <f t="shared" si="18"/>
        <v>29.400000000000002</v>
      </c>
      <c r="M59" s="60">
        <f t="shared" si="19"/>
        <v>125.80332437224696</v>
      </c>
      <c r="N59">
        <f t="shared" si="20"/>
        <v>0</v>
      </c>
      <c r="O59" s="60">
        <f t="shared" si="14"/>
        <v>155.20332437224695</v>
      </c>
      <c r="P59" s="60">
        <f t="shared" si="15"/>
        <v>8.2632872573769873</v>
      </c>
      <c r="Q59" s="60">
        <f t="shared" si="21"/>
        <v>5.5088581715846581E-2</v>
      </c>
    </row>
    <row r="60" spans="1:17" x14ac:dyDescent="0.25">
      <c r="A60">
        <f t="shared" si="9"/>
        <v>29</v>
      </c>
      <c r="B60" s="60">
        <f t="shared" si="10"/>
        <v>23.273881644505941</v>
      </c>
      <c r="C60" s="62">
        <f t="shared" si="11"/>
        <v>83.785973920221394</v>
      </c>
      <c r="D60">
        <f t="shared" si="16"/>
        <v>4151.5673183201125</v>
      </c>
      <c r="E60">
        <f t="shared" si="12"/>
        <v>0</v>
      </c>
      <c r="F60">
        <f t="shared" si="13"/>
        <v>2</v>
      </c>
      <c r="G60" s="60">
        <f t="shared" si="6"/>
        <v>9.2006664985287934</v>
      </c>
      <c r="H60">
        <v>2</v>
      </c>
      <c r="I60" s="60">
        <f t="shared" si="7"/>
        <v>4.6003332492643967</v>
      </c>
      <c r="J60" s="60">
        <f t="shared" si="8"/>
        <v>2000</v>
      </c>
      <c r="K60" s="61">
        <f t="shared" si="17"/>
        <v>163.27315133945575</v>
      </c>
      <c r="L60">
        <f t="shared" si="18"/>
        <v>29.400000000000002</v>
      </c>
      <c r="M60" s="60">
        <f t="shared" si="19"/>
        <v>126.10162652787298</v>
      </c>
      <c r="N60">
        <f t="shared" si="20"/>
        <v>0</v>
      </c>
      <c r="O60" s="60">
        <f t="shared" si="14"/>
        <v>155.50162652787299</v>
      </c>
      <c r="P60" s="60">
        <f t="shared" si="15"/>
        <v>7.7715248115827649</v>
      </c>
      <c r="Q60" s="60">
        <f t="shared" si="21"/>
        <v>5.1810165410551764E-2</v>
      </c>
    </row>
    <row r="61" spans="1:17" x14ac:dyDescent="0.25">
      <c r="A61">
        <f t="shared" si="9"/>
        <v>29.5</v>
      </c>
      <c r="B61" s="60">
        <f t="shared" si="10"/>
        <v>23.299786727211217</v>
      </c>
      <c r="C61" s="62">
        <f t="shared" si="11"/>
        <v>83.879232217960379</v>
      </c>
      <c r="D61">
        <f t="shared" si="16"/>
        <v>4156.1882361532571</v>
      </c>
      <c r="E61">
        <f t="shared" si="12"/>
        <v>0</v>
      </c>
      <c r="F61">
        <f t="shared" si="13"/>
        <v>2</v>
      </c>
      <c r="G61" s="60">
        <f t="shared" si="6"/>
        <v>9.1904370475308728</v>
      </c>
      <c r="H61">
        <v>2</v>
      </c>
      <c r="I61" s="60">
        <f t="shared" si="7"/>
        <v>4.5952185237654364</v>
      </c>
      <c r="J61" s="60">
        <f t="shared" si="8"/>
        <v>2000</v>
      </c>
      <c r="K61" s="61">
        <f t="shared" si="17"/>
        <v>163.09162158819586</v>
      </c>
      <c r="L61">
        <f t="shared" si="18"/>
        <v>29.400000000000002</v>
      </c>
      <c r="M61" s="60">
        <f t="shared" si="19"/>
        <v>126.38249854620264</v>
      </c>
      <c r="N61">
        <f t="shared" si="20"/>
        <v>0</v>
      </c>
      <c r="O61" s="60">
        <f t="shared" si="14"/>
        <v>155.78249854620265</v>
      </c>
      <c r="P61" s="60">
        <f t="shared" si="15"/>
        <v>7.3091230419932174</v>
      </c>
      <c r="Q61" s="60">
        <f t="shared" si="21"/>
        <v>4.8727486946621448E-2</v>
      </c>
    </row>
    <row r="62" spans="1:17" x14ac:dyDescent="0.25">
      <c r="A62">
        <f t="shared" si="9"/>
        <v>30</v>
      </c>
      <c r="B62" s="60">
        <f t="shared" si="10"/>
        <v>23.324150470684529</v>
      </c>
      <c r="C62" s="62">
        <f t="shared" si="11"/>
        <v>83.96694169446431</v>
      </c>
      <c r="D62">
        <f t="shared" si="16"/>
        <v>4160.5342117279688</v>
      </c>
      <c r="E62">
        <f t="shared" si="12"/>
        <v>0</v>
      </c>
      <c r="F62">
        <f t="shared" si="13"/>
        <v>2</v>
      </c>
      <c r="G62" s="60">
        <f t="shared" si="6"/>
        <v>9.1808369786702659</v>
      </c>
      <c r="H62">
        <v>2</v>
      </c>
      <c r="I62" s="60">
        <f t="shared" si="7"/>
        <v>4.590418489335133</v>
      </c>
      <c r="J62" s="60">
        <f t="shared" si="8"/>
        <v>2000</v>
      </c>
      <c r="K62" s="61">
        <f t="shared" si="17"/>
        <v>162.92126072399137</v>
      </c>
      <c r="L62">
        <f t="shared" si="18"/>
        <v>29.400000000000002</v>
      </c>
      <c r="M62" s="60">
        <f t="shared" si="19"/>
        <v>126.64694394121085</v>
      </c>
      <c r="N62">
        <f t="shared" si="20"/>
        <v>0</v>
      </c>
      <c r="O62" s="60">
        <f t="shared" si="14"/>
        <v>156.04694394121086</v>
      </c>
      <c r="P62" s="60">
        <f t="shared" si="15"/>
        <v>6.8743167827805109</v>
      </c>
      <c r="Q62" s="60">
        <f t="shared" si="21"/>
        <v>4.5828778551870071E-2</v>
      </c>
    </row>
    <row r="63" spans="1:17" x14ac:dyDescent="0.25">
      <c r="A63">
        <f t="shared" si="9"/>
        <v>30.5</v>
      </c>
      <c r="B63" s="60">
        <f t="shared" si="10"/>
        <v>23.347064859960465</v>
      </c>
      <c r="C63" s="62">
        <f t="shared" si="11"/>
        <v>84.04943349585767</v>
      </c>
      <c r="D63">
        <f t="shared" si="16"/>
        <v>4164.6216532252784</v>
      </c>
      <c r="E63">
        <f t="shared" si="12"/>
        <v>0</v>
      </c>
      <c r="F63">
        <f t="shared" si="13"/>
        <v>2</v>
      </c>
      <c r="G63" s="60">
        <f t="shared" si="6"/>
        <v>9.1718262840210691</v>
      </c>
      <c r="H63">
        <v>2</v>
      </c>
      <c r="I63" s="60">
        <f t="shared" si="7"/>
        <v>4.5859131420105346</v>
      </c>
      <c r="J63" s="60">
        <f t="shared" si="8"/>
        <v>2000</v>
      </c>
      <c r="K63" s="61">
        <f t="shared" si="17"/>
        <v>162.76135877434811</v>
      </c>
      <c r="L63">
        <f t="shared" si="18"/>
        <v>29.400000000000002</v>
      </c>
      <c r="M63" s="60">
        <f t="shared" si="19"/>
        <v>126.89591017084992</v>
      </c>
      <c r="N63">
        <f t="shared" si="20"/>
        <v>0</v>
      </c>
      <c r="O63" s="60">
        <f t="shared" si="14"/>
        <v>156.29591017084991</v>
      </c>
      <c r="P63" s="60">
        <f t="shared" si="15"/>
        <v>6.4654486034982028</v>
      </c>
      <c r="Q63" s="60">
        <f t="shared" si="21"/>
        <v>4.3102990689988019E-2</v>
      </c>
    </row>
    <row r="64" spans="1:17" x14ac:dyDescent="0.25">
      <c r="A64">
        <f t="shared" si="9"/>
        <v>31</v>
      </c>
      <c r="B64" s="60">
        <f t="shared" si="10"/>
        <v>23.368616355305459</v>
      </c>
      <c r="C64" s="62">
        <f t="shared" si="11"/>
        <v>84.127018879099651</v>
      </c>
      <c r="D64">
        <f t="shared" si="16"/>
        <v>4168.4659833246515</v>
      </c>
      <c r="E64">
        <f t="shared" si="12"/>
        <v>0</v>
      </c>
      <c r="F64">
        <f t="shared" si="13"/>
        <v>2</v>
      </c>
      <c r="G64" s="60">
        <f t="shared" si="6"/>
        <v>9.1633676500797243</v>
      </c>
      <c r="H64">
        <v>2</v>
      </c>
      <c r="I64" s="60">
        <f t="shared" si="7"/>
        <v>4.5816838250398622</v>
      </c>
      <c r="J64" s="60">
        <f t="shared" si="8"/>
        <v>2000</v>
      </c>
      <c r="K64" s="61">
        <f t="shared" si="17"/>
        <v>162.61125358144159</v>
      </c>
      <c r="L64">
        <f t="shared" si="18"/>
        <v>29.400000000000002</v>
      </c>
      <c r="M64" s="60">
        <f t="shared" si="19"/>
        <v>127.13029156898973</v>
      </c>
      <c r="N64">
        <f t="shared" si="20"/>
        <v>0</v>
      </c>
      <c r="O64" s="60">
        <f t="shared" si="14"/>
        <v>156.53029156898972</v>
      </c>
      <c r="P64" s="60">
        <f t="shared" si="15"/>
        <v>6.0809620124518631</v>
      </c>
      <c r="Q64" s="60">
        <f t="shared" si="21"/>
        <v>4.0539746749679084E-2</v>
      </c>
    </row>
    <row r="65" spans="1:17" x14ac:dyDescent="0.25">
      <c r="A65">
        <f t="shared" si="9"/>
        <v>31.5</v>
      </c>
      <c r="B65" s="60">
        <f t="shared" si="10"/>
        <v>23.388886228680299</v>
      </c>
      <c r="C65" s="62">
        <f t="shared" si="11"/>
        <v>84.199990423249076</v>
      </c>
      <c r="D65">
        <f t="shared" si="16"/>
        <v>4172.0816992217606</v>
      </c>
      <c r="E65">
        <f t="shared" si="12"/>
        <v>0</v>
      </c>
      <c r="F65">
        <f t="shared" si="13"/>
        <v>2</v>
      </c>
      <c r="G65" s="60">
        <f t="shared" si="6"/>
        <v>9.1554262585941206</v>
      </c>
      <c r="H65">
        <v>2</v>
      </c>
      <c r="I65" s="60">
        <f t="shared" si="7"/>
        <v>4.5777131292970603</v>
      </c>
      <c r="J65" s="60">
        <f t="shared" si="8"/>
        <v>2000.0000000000002</v>
      </c>
      <c r="K65" s="61">
        <f t="shared" si="17"/>
        <v>162.47032726767048</v>
      </c>
      <c r="L65">
        <f t="shared" si="18"/>
        <v>29.400000000000002</v>
      </c>
      <c r="M65" s="60">
        <f t="shared" si="19"/>
        <v>127.35093214757225</v>
      </c>
      <c r="N65">
        <f t="shared" si="20"/>
        <v>0</v>
      </c>
      <c r="O65" s="60">
        <f t="shared" si="14"/>
        <v>156.75093214757226</v>
      </c>
      <c r="P65" s="60">
        <f t="shared" si="15"/>
        <v>5.7193951200982269</v>
      </c>
      <c r="Q65" s="60">
        <f t="shared" si="21"/>
        <v>3.8129300800654846E-2</v>
      </c>
    </row>
    <row r="66" spans="1:17" x14ac:dyDescent="0.25">
      <c r="A66">
        <f t="shared" si="9"/>
        <v>32</v>
      </c>
      <c r="B66" s="60">
        <f t="shared" si="10"/>
        <v>23.407950879080627</v>
      </c>
      <c r="C66" s="62">
        <f t="shared" si="11"/>
        <v>84.268623164690254</v>
      </c>
      <c r="D66">
        <f t="shared" ref="D66:D97" si="22">(C66*GearRatio)/(2*PI()*WheelRadius*0.001*60)</f>
        <v>4175.4824288785549</v>
      </c>
      <c r="E66">
        <f t="shared" si="12"/>
        <v>0</v>
      </c>
      <c r="F66">
        <f t="shared" si="13"/>
        <v>2</v>
      </c>
      <c r="G66" s="60">
        <f t="shared" si="6"/>
        <v>9.1479696041527419</v>
      </c>
      <c r="H66">
        <v>2</v>
      </c>
      <c r="I66" s="60">
        <f t="shared" si="7"/>
        <v>4.5739848020763709</v>
      </c>
      <c r="J66" s="60">
        <f t="shared" si="8"/>
        <v>2000</v>
      </c>
      <c r="K66" s="61">
        <f t="shared" ref="K66:K97" si="23">(G66*GearRatio*GearEfficency)/WheelRadius</f>
        <v>162.33800299863108</v>
      </c>
      <c r="L66">
        <f t="shared" ref="L66:L97" si="24">Froll</f>
        <v>29.400000000000002</v>
      </c>
      <c r="M66" s="60">
        <f t="shared" ref="M66:M97" si="25">Cd*Density*Area*C66*C66*0.03858025308642</f>
        <v>127.55862827179277</v>
      </c>
      <c r="N66">
        <f t="shared" ref="N66:N97" si="26">(KerbWeight+LoadWeight)*9.8*SIN(E66*0.01745329)</f>
        <v>0</v>
      </c>
      <c r="O66" s="60">
        <f t="shared" si="14"/>
        <v>156.95862827179278</v>
      </c>
      <c r="P66" s="60">
        <f t="shared" si="15"/>
        <v>5.3793747268383072</v>
      </c>
      <c r="Q66" s="60">
        <f t="shared" ref="Q66:Q97" si="27">P66/(KerbWeight+LoadWeight)</f>
        <v>3.586249817892205E-2</v>
      </c>
    </row>
    <row r="67" spans="1:17" x14ac:dyDescent="0.25">
      <c r="A67">
        <f t="shared" si="9"/>
        <v>32.5</v>
      </c>
      <c r="B67" s="60">
        <f t="shared" si="10"/>
        <v>23.425882128170088</v>
      </c>
      <c r="C67" s="62">
        <f t="shared" si="11"/>
        <v>84.333175661412312</v>
      </c>
      <c r="D67">
        <f t="shared" si="22"/>
        <v>4178.6809837579485</v>
      </c>
      <c r="E67">
        <f t="shared" si="12"/>
        <v>0</v>
      </c>
      <c r="F67">
        <f t="shared" si="13"/>
        <v>2</v>
      </c>
      <c r="G67" s="60">
        <f t="shared" ref="G67:G130" si="28">(IF((F67=2),(IF((D67&lt;500),(37),((2000*60)/(2*PI()*D67)))),(IF((D67&lt;500),(19),((1000*60)/(2*PI()*D67))))))*2</f>
        <v>9.1409673268964404</v>
      </c>
      <c r="H67">
        <v>2</v>
      </c>
      <c r="I67" s="60">
        <f t="shared" ref="I67:I130" si="29">G67/H67</f>
        <v>4.5704836634482202</v>
      </c>
      <c r="J67" s="60">
        <f t="shared" ref="J67:J130" si="30">(2*PI()*D67*I67)/60</f>
        <v>2000</v>
      </c>
      <c r="K67" s="61">
        <f t="shared" si="23"/>
        <v>162.21374201445437</v>
      </c>
      <c r="L67">
        <f t="shared" si="24"/>
        <v>29.400000000000002</v>
      </c>
      <c r="M67" s="60">
        <f t="shared" si="25"/>
        <v>127.754131211482</v>
      </c>
      <c r="N67">
        <f t="shared" si="26"/>
        <v>0</v>
      </c>
      <c r="O67" s="60">
        <f t="shared" si="14"/>
        <v>157.154131211482</v>
      </c>
      <c r="P67" s="60">
        <f t="shared" si="15"/>
        <v>5.0596108029723723</v>
      </c>
      <c r="Q67" s="60">
        <f t="shared" si="27"/>
        <v>3.3730738686482485E-2</v>
      </c>
    </row>
    <row r="68" spans="1:17" x14ac:dyDescent="0.25">
      <c r="A68">
        <f t="shared" ref="A68:A131" si="31">A67+0.5</f>
        <v>33</v>
      </c>
      <c r="B68" s="60">
        <f t="shared" ref="B68:B122" si="32">B67+(Q67*(A68-A67))</f>
        <v>23.442747497513327</v>
      </c>
      <c r="C68" s="62">
        <f t="shared" ref="C68:C131" si="33">B68*3.6</f>
        <v>84.393890991047982</v>
      </c>
      <c r="D68">
        <f t="shared" si="22"/>
        <v>4181.689408276311</v>
      </c>
      <c r="E68">
        <f t="shared" ref="E68:E122" si="34">E67</f>
        <v>0</v>
      </c>
      <c r="F68">
        <f t="shared" ref="F68:F122" si="35">F67</f>
        <v>2</v>
      </c>
      <c r="G68" s="60">
        <f t="shared" si="28"/>
        <v>9.134391058899741</v>
      </c>
      <c r="H68">
        <v>2</v>
      </c>
      <c r="I68" s="60">
        <f t="shared" si="29"/>
        <v>4.5671955294498705</v>
      </c>
      <c r="J68" s="60">
        <f t="shared" si="30"/>
        <v>2000</v>
      </c>
      <c r="K68" s="61">
        <f t="shared" si="23"/>
        <v>162.09704090372011</v>
      </c>
      <c r="L68">
        <f t="shared" si="24"/>
        <v>29.400000000000002</v>
      </c>
      <c r="M68" s="60">
        <f t="shared" si="25"/>
        <v>127.93814957215005</v>
      </c>
      <c r="N68">
        <f t="shared" si="26"/>
        <v>0</v>
      </c>
      <c r="O68" s="60">
        <f t="shared" ref="O68:O122" si="36">L68+M68+N68</f>
        <v>157.33814957215006</v>
      </c>
      <c r="P68" s="60">
        <f t="shared" ref="P68:P122" si="37">K68-O68</f>
        <v>4.7588913315700552</v>
      </c>
      <c r="Q68" s="60">
        <f t="shared" si="27"/>
        <v>3.1725942210467033E-2</v>
      </c>
    </row>
    <row r="69" spans="1:17" x14ac:dyDescent="0.25">
      <c r="A69">
        <f t="shared" si="31"/>
        <v>33.5</v>
      </c>
      <c r="B69" s="60">
        <f t="shared" si="32"/>
        <v>23.458610468618559</v>
      </c>
      <c r="C69" s="62">
        <f t="shared" si="33"/>
        <v>84.450997687026813</v>
      </c>
      <c r="D69">
        <f t="shared" si="22"/>
        <v>4184.5190261895505</v>
      </c>
      <c r="E69">
        <f t="shared" si="34"/>
        <v>0</v>
      </c>
      <c r="F69">
        <f t="shared" si="35"/>
        <v>2</v>
      </c>
      <c r="G69" s="60">
        <f t="shared" si="28"/>
        <v>9.1282142829297825</v>
      </c>
      <c r="H69">
        <v>2</v>
      </c>
      <c r="I69" s="60">
        <f t="shared" si="29"/>
        <v>4.5641071414648913</v>
      </c>
      <c r="J69" s="60">
        <f t="shared" si="30"/>
        <v>2000</v>
      </c>
      <c r="K69" s="61">
        <f t="shared" si="23"/>
        <v>161.98742909702173</v>
      </c>
      <c r="L69">
        <f t="shared" si="24"/>
        <v>29.400000000000002</v>
      </c>
      <c r="M69" s="60">
        <f t="shared" si="25"/>
        <v>128.11135160937272</v>
      </c>
      <c r="N69">
        <f t="shared" si="26"/>
        <v>0</v>
      </c>
      <c r="O69" s="60">
        <f t="shared" si="36"/>
        <v>157.51135160937272</v>
      </c>
      <c r="P69" s="60">
        <f t="shared" si="37"/>
        <v>4.4760774876490075</v>
      </c>
      <c r="Q69" s="60">
        <f t="shared" si="27"/>
        <v>2.9840516584326716E-2</v>
      </c>
    </row>
    <row r="70" spans="1:17" x14ac:dyDescent="0.25">
      <c r="A70">
        <f t="shared" si="31"/>
        <v>34</v>
      </c>
      <c r="B70" s="60">
        <f t="shared" si="32"/>
        <v>23.473530726910724</v>
      </c>
      <c r="C70" s="62">
        <f t="shared" si="33"/>
        <v>84.504710616878612</v>
      </c>
      <c r="D70">
        <f t="shared" si="22"/>
        <v>4187.1804841127623</v>
      </c>
      <c r="E70">
        <f t="shared" si="34"/>
        <v>0</v>
      </c>
      <c r="F70">
        <f t="shared" si="35"/>
        <v>2</v>
      </c>
      <c r="G70" s="60">
        <f t="shared" si="28"/>
        <v>9.1224122024318781</v>
      </c>
      <c r="H70">
        <v>2</v>
      </c>
      <c r="I70" s="60">
        <f t="shared" si="29"/>
        <v>4.5612061012159391</v>
      </c>
      <c r="J70" s="60">
        <f t="shared" si="30"/>
        <v>2000</v>
      </c>
      <c r="K70" s="61">
        <f t="shared" si="23"/>
        <v>161.88446655975667</v>
      </c>
      <c r="L70">
        <f t="shared" si="24"/>
        <v>29.400000000000002</v>
      </c>
      <c r="M70" s="60">
        <f t="shared" si="25"/>
        <v>128.27436743036159</v>
      </c>
      <c r="N70">
        <f t="shared" si="26"/>
        <v>0</v>
      </c>
      <c r="O70" s="60">
        <f t="shared" si="36"/>
        <v>157.6743674303616</v>
      </c>
      <c r="P70" s="60">
        <f t="shared" si="37"/>
        <v>4.2100991293950756</v>
      </c>
      <c r="Q70" s="60">
        <f t="shared" si="27"/>
        <v>2.8067327529300502E-2</v>
      </c>
    </row>
    <row r="71" spans="1:17" x14ac:dyDescent="0.25">
      <c r="A71">
        <f t="shared" si="31"/>
        <v>34.5</v>
      </c>
      <c r="B71" s="60">
        <f t="shared" si="32"/>
        <v>23.487564390675374</v>
      </c>
      <c r="C71" s="62">
        <f t="shared" si="33"/>
        <v>84.555231806431351</v>
      </c>
      <c r="D71">
        <f t="shared" si="22"/>
        <v>4189.6837923589555</v>
      </c>
      <c r="E71">
        <f t="shared" si="34"/>
        <v>0</v>
      </c>
      <c r="F71">
        <f t="shared" si="35"/>
        <v>2</v>
      </c>
      <c r="G71" s="60">
        <f t="shared" si="28"/>
        <v>9.1169616217142657</v>
      </c>
      <c r="H71">
        <v>2</v>
      </c>
      <c r="I71" s="60">
        <f t="shared" si="29"/>
        <v>4.5584808108571329</v>
      </c>
      <c r="J71" s="60">
        <f t="shared" si="30"/>
        <v>1999.9999999999998</v>
      </c>
      <c r="K71" s="61">
        <f t="shared" si="23"/>
        <v>161.78774166590935</v>
      </c>
      <c r="L71">
        <f t="shared" si="24"/>
        <v>29.400000000000002</v>
      </c>
      <c r="M71" s="60">
        <f t="shared" si="25"/>
        <v>128.42779108666929</v>
      </c>
      <c r="N71">
        <f t="shared" si="26"/>
        <v>0</v>
      </c>
      <c r="O71" s="60">
        <f t="shared" si="36"/>
        <v>157.82779108666929</v>
      </c>
      <c r="P71" s="60">
        <f t="shared" si="37"/>
        <v>3.9599505792400578</v>
      </c>
      <c r="Q71" s="60">
        <f t="shared" si="27"/>
        <v>2.6399670528267052E-2</v>
      </c>
    </row>
    <row r="72" spans="1:17" x14ac:dyDescent="0.25">
      <c r="A72">
        <f t="shared" si="31"/>
        <v>35</v>
      </c>
      <c r="B72" s="60">
        <f t="shared" si="32"/>
        <v>23.500764225939506</v>
      </c>
      <c r="C72" s="62">
        <f t="shared" si="33"/>
        <v>84.60275121338222</v>
      </c>
      <c r="D72">
        <f t="shared" si="22"/>
        <v>4192.0383632692492</v>
      </c>
      <c r="E72">
        <f t="shared" si="34"/>
        <v>0</v>
      </c>
      <c r="F72">
        <f t="shared" si="35"/>
        <v>2</v>
      </c>
      <c r="G72" s="60">
        <f t="shared" si="28"/>
        <v>9.1118408354130622</v>
      </c>
      <c r="H72">
        <v>2</v>
      </c>
      <c r="I72" s="60">
        <f t="shared" si="29"/>
        <v>4.5559204177065311</v>
      </c>
      <c r="J72" s="60">
        <f t="shared" si="30"/>
        <v>2000</v>
      </c>
      <c r="K72" s="61">
        <f t="shared" si="23"/>
        <v>161.69686923651881</v>
      </c>
      <c r="L72">
        <f t="shared" si="24"/>
        <v>29.400000000000002</v>
      </c>
      <c r="M72" s="60">
        <f t="shared" si="25"/>
        <v>128.57218256205124</v>
      </c>
      <c r="N72">
        <f t="shared" si="26"/>
        <v>0</v>
      </c>
      <c r="O72" s="60">
        <f t="shared" si="36"/>
        <v>157.97218256205124</v>
      </c>
      <c r="P72" s="60">
        <f t="shared" si="37"/>
        <v>3.7246866744675629</v>
      </c>
      <c r="Q72" s="60">
        <f t="shared" si="27"/>
        <v>2.4831244496450418E-2</v>
      </c>
    </row>
    <row r="73" spans="1:17" x14ac:dyDescent="0.25">
      <c r="A73">
        <f t="shared" si="31"/>
        <v>35.5</v>
      </c>
      <c r="B73" s="60">
        <f t="shared" si="32"/>
        <v>23.513179848187729</v>
      </c>
      <c r="C73" s="62">
        <f t="shared" si="33"/>
        <v>84.64744745347582</v>
      </c>
      <c r="D73">
        <f t="shared" si="22"/>
        <v>4194.2530471947603</v>
      </c>
      <c r="E73">
        <f t="shared" si="34"/>
        <v>0</v>
      </c>
      <c r="F73">
        <f t="shared" si="35"/>
        <v>2</v>
      </c>
      <c r="G73" s="60">
        <f t="shared" si="28"/>
        <v>9.1070295264140739</v>
      </c>
      <c r="H73">
        <v>2</v>
      </c>
      <c r="I73" s="60">
        <f t="shared" si="29"/>
        <v>4.553514763207037</v>
      </c>
      <c r="J73" s="60">
        <f t="shared" si="30"/>
        <v>2000</v>
      </c>
      <c r="K73" s="61">
        <f t="shared" si="23"/>
        <v>161.61148872821997</v>
      </c>
      <c r="L73">
        <f t="shared" si="24"/>
        <v>29.400000000000002</v>
      </c>
      <c r="M73" s="60">
        <f t="shared" si="25"/>
        <v>128.70806965953463</v>
      </c>
      <c r="N73">
        <f t="shared" si="26"/>
        <v>0</v>
      </c>
      <c r="O73" s="60">
        <f t="shared" si="36"/>
        <v>158.10806965953464</v>
      </c>
      <c r="P73" s="60">
        <f t="shared" si="37"/>
        <v>3.5034190686853321</v>
      </c>
      <c r="Q73" s="60">
        <f t="shared" si="27"/>
        <v>2.335612712456888E-2</v>
      </c>
    </row>
    <row r="74" spans="1:17" x14ac:dyDescent="0.25">
      <c r="A74">
        <f t="shared" si="31"/>
        <v>36</v>
      </c>
      <c r="B74" s="60">
        <f t="shared" si="32"/>
        <v>23.524857911750015</v>
      </c>
      <c r="C74" s="62">
        <f t="shared" si="33"/>
        <v>84.68948848230005</v>
      </c>
      <c r="D74">
        <f t="shared" si="22"/>
        <v>4196.3361662793623</v>
      </c>
      <c r="E74">
        <f t="shared" si="34"/>
        <v>0</v>
      </c>
      <c r="F74">
        <f t="shared" si="35"/>
        <v>2</v>
      </c>
      <c r="G74" s="60">
        <f t="shared" si="28"/>
        <v>9.1025086714923553</v>
      </c>
      <c r="H74">
        <v>2</v>
      </c>
      <c r="I74" s="60">
        <f t="shared" si="29"/>
        <v>4.5512543357461777</v>
      </c>
      <c r="J74" s="60">
        <f t="shared" si="30"/>
        <v>2000</v>
      </c>
      <c r="K74" s="61">
        <f t="shared" si="23"/>
        <v>161.53126255874238</v>
      </c>
      <c r="L74">
        <f t="shared" si="24"/>
        <v>29.400000000000002</v>
      </c>
      <c r="M74" s="60">
        <f t="shared" si="25"/>
        <v>128.83594979174623</v>
      </c>
      <c r="N74">
        <f t="shared" si="26"/>
        <v>0</v>
      </c>
      <c r="O74" s="60">
        <f t="shared" si="36"/>
        <v>158.23594979174624</v>
      </c>
      <c r="P74" s="60">
        <f t="shared" si="37"/>
        <v>3.2953127669961475</v>
      </c>
      <c r="Q74" s="60">
        <f t="shared" si="27"/>
        <v>2.1968751779974316E-2</v>
      </c>
    </row>
    <row r="75" spans="1:17" x14ac:dyDescent="0.25">
      <c r="A75">
        <f t="shared" si="31"/>
        <v>36.5</v>
      </c>
      <c r="B75" s="60">
        <f t="shared" si="32"/>
        <v>23.535842287640001</v>
      </c>
      <c r="C75" s="62">
        <f t="shared" si="33"/>
        <v>84.729032235504008</v>
      </c>
      <c r="D75">
        <f t="shared" si="22"/>
        <v>4198.2955461822758</v>
      </c>
      <c r="E75">
        <f t="shared" si="34"/>
        <v>0</v>
      </c>
      <c r="F75">
        <f t="shared" si="35"/>
        <v>2</v>
      </c>
      <c r="G75" s="60">
        <f t="shared" si="28"/>
        <v>9.0982604540048477</v>
      </c>
      <c r="H75">
        <v>2</v>
      </c>
      <c r="I75" s="60">
        <f t="shared" si="29"/>
        <v>4.5491302270024239</v>
      </c>
      <c r="J75" s="60">
        <f t="shared" si="30"/>
        <v>2000</v>
      </c>
      <c r="K75" s="61">
        <f t="shared" si="23"/>
        <v>161.45587455757189</v>
      </c>
      <c r="L75">
        <f t="shared" si="24"/>
        <v>29.400000000000002</v>
      </c>
      <c r="M75" s="60">
        <f t="shared" si="25"/>
        <v>128.95629167852502</v>
      </c>
      <c r="N75">
        <f t="shared" si="26"/>
        <v>0</v>
      </c>
      <c r="O75" s="60">
        <f t="shared" si="36"/>
        <v>158.35629167852503</v>
      </c>
      <c r="P75" s="60">
        <f t="shared" si="37"/>
        <v>3.0995828790468636</v>
      </c>
      <c r="Q75" s="60">
        <f t="shared" si="27"/>
        <v>2.0663885860312425E-2</v>
      </c>
    </row>
    <row r="76" spans="1:17" x14ac:dyDescent="0.25">
      <c r="A76">
        <f t="shared" si="31"/>
        <v>37</v>
      </c>
      <c r="B76" s="60">
        <f t="shared" si="32"/>
        <v>23.546174230570159</v>
      </c>
      <c r="C76" s="62">
        <f t="shared" si="33"/>
        <v>84.766227230052579</v>
      </c>
      <c r="D76">
        <f t="shared" si="22"/>
        <v>4200.138545870027</v>
      </c>
      <c r="E76">
        <f t="shared" si="34"/>
        <v>0</v>
      </c>
      <c r="F76">
        <f t="shared" si="35"/>
        <v>2</v>
      </c>
      <c r="G76" s="60">
        <f t="shared" si="28"/>
        <v>9.0942681830374301</v>
      </c>
      <c r="H76">
        <v>2</v>
      </c>
      <c r="I76" s="60">
        <f t="shared" si="29"/>
        <v>4.5471340915187151</v>
      </c>
      <c r="J76" s="60">
        <f t="shared" si="30"/>
        <v>2000</v>
      </c>
      <c r="K76" s="61">
        <f t="shared" si="23"/>
        <v>161.38502853115025</v>
      </c>
      <c r="L76">
        <f t="shared" si="24"/>
        <v>29.400000000000002</v>
      </c>
      <c r="M76" s="60">
        <f t="shared" si="25"/>
        <v>129.0695369557975</v>
      </c>
      <c r="N76">
        <f t="shared" si="26"/>
        <v>0</v>
      </c>
      <c r="O76" s="60">
        <f t="shared" si="36"/>
        <v>158.46953695579751</v>
      </c>
      <c r="P76" s="60">
        <f t="shared" si="37"/>
        <v>2.9154915753527462</v>
      </c>
      <c r="Q76" s="60">
        <f t="shared" si="27"/>
        <v>1.9436610502351639E-2</v>
      </c>
    </row>
    <row r="77" spans="1:17" x14ac:dyDescent="0.25">
      <c r="A77">
        <f t="shared" si="31"/>
        <v>37.5</v>
      </c>
      <c r="B77" s="60">
        <f t="shared" si="32"/>
        <v>23.555892535821336</v>
      </c>
      <c r="C77" s="62">
        <f t="shared" si="33"/>
        <v>84.801213128956817</v>
      </c>
      <c r="D77">
        <f t="shared" si="22"/>
        <v>4201.8720855986603</v>
      </c>
      <c r="E77">
        <f t="shared" si="34"/>
        <v>0</v>
      </c>
      <c r="F77">
        <f t="shared" si="35"/>
        <v>2</v>
      </c>
      <c r="G77" s="60">
        <f t="shared" si="28"/>
        <v>9.090516218466167</v>
      </c>
      <c r="H77">
        <v>2</v>
      </c>
      <c r="I77" s="60">
        <f t="shared" si="29"/>
        <v>4.5452581092330835</v>
      </c>
      <c r="J77" s="60">
        <f t="shared" si="30"/>
        <v>2000</v>
      </c>
      <c r="K77" s="61">
        <f t="shared" si="23"/>
        <v>161.31844693302776</v>
      </c>
      <c r="L77">
        <f t="shared" si="24"/>
        <v>29.400000000000002</v>
      </c>
      <c r="M77" s="60">
        <f t="shared" si="25"/>
        <v>129.17610169962703</v>
      </c>
      <c r="N77">
        <f t="shared" si="26"/>
        <v>0</v>
      </c>
      <c r="O77" s="60">
        <f t="shared" si="36"/>
        <v>158.57610169962703</v>
      </c>
      <c r="P77" s="60">
        <f t="shared" si="37"/>
        <v>2.7423452334007266</v>
      </c>
      <c r="Q77" s="60">
        <f t="shared" si="27"/>
        <v>1.8282301556004844E-2</v>
      </c>
    </row>
    <row r="78" spans="1:17" x14ac:dyDescent="0.25">
      <c r="A78">
        <f t="shared" si="31"/>
        <v>38</v>
      </c>
      <c r="B78" s="60">
        <f t="shared" si="32"/>
        <v>23.565033686599339</v>
      </c>
      <c r="C78" s="62">
        <f t="shared" si="33"/>
        <v>84.834121271757624</v>
      </c>
      <c r="D78">
        <f t="shared" si="22"/>
        <v>4203.5026731990201</v>
      </c>
      <c r="E78">
        <f t="shared" si="34"/>
        <v>0</v>
      </c>
      <c r="F78">
        <f t="shared" si="35"/>
        <v>2</v>
      </c>
      <c r="G78" s="60">
        <f t="shared" si="28"/>
        <v>9.0869899014446016</v>
      </c>
      <c r="H78">
        <v>2</v>
      </c>
      <c r="I78" s="60">
        <f t="shared" si="29"/>
        <v>4.5434949507223008</v>
      </c>
      <c r="J78" s="60">
        <f t="shared" si="30"/>
        <v>2000.0000000000002</v>
      </c>
      <c r="K78" s="61">
        <f t="shared" si="23"/>
        <v>161.25586963030463</v>
      </c>
      <c r="L78">
        <f t="shared" si="24"/>
        <v>29.400000000000002</v>
      </c>
      <c r="M78" s="60">
        <f t="shared" si="25"/>
        <v>129.27637786926874</v>
      </c>
      <c r="N78">
        <f t="shared" si="26"/>
        <v>0</v>
      </c>
      <c r="O78" s="60">
        <f t="shared" si="36"/>
        <v>158.67637786926875</v>
      </c>
      <c r="P78" s="60">
        <f t="shared" si="37"/>
        <v>2.5794917610358823</v>
      </c>
      <c r="Q78" s="60">
        <f t="shared" si="27"/>
        <v>1.7196611740239214E-2</v>
      </c>
    </row>
    <row r="79" spans="1:17" x14ac:dyDescent="0.25">
      <c r="A79">
        <f t="shared" si="31"/>
        <v>38.5</v>
      </c>
      <c r="B79" s="60">
        <f t="shared" si="32"/>
        <v>23.573631992469458</v>
      </c>
      <c r="C79" s="62">
        <f t="shared" si="33"/>
        <v>84.865075172890059</v>
      </c>
      <c r="D79">
        <f t="shared" si="22"/>
        <v>4205.036428770547</v>
      </c>
      <c r="E79">
        <f t="shared" si="34"/>
        <v>0</v>
      </c>
      <c r="F79">
        <f t="shared" si="35"/>
        <v>2</v>
      </c>
      <c r="G79" s="60">
        <f t="shared" si="28"/>
        <v>9.0836754898750858</v>
      </c>
      <c r="H79">
        <v>2</v>
      </c>
      <c r="I79" s="60">
        <f t="shared" si="29"/>
        <v>4.5418377449375429</v>
      </c>
      <c r="J79" s="60">
        <f t="shared" si="30"/>
        <v>2000</v>
      </c>
      <c r="K79" s="61">
        <f t="shared" si="23"/>
        <v>161.19705275851851</v>
      </c>
      <c r="L79">
        <f t="shared" si="24"/>
        <v>29.400000000000002</v>
      </c>
      <c r="M79" s="60">
        <f t="shared" si="25"/>
        <v>129.37073467296827</v>
      </c>
      <c r="N79">
        <f t="shared" si="26"/>
        <v>0</v>
      </c>
      <c r="O79" s="60">
        <f t="shared" si="36"/>
        <v>158.77073467296827</v>
      </c>
      <c r="P79" s="60">
        <f t="shared" si="37"/>
        <v>2.4263180855502355</v>
      </c>
      <c r="Q79" s="60">
        <f t="shared" si="27"/>
        <v>1.6175453903668237E-2</v>
      </c>
    </row>
    <row r="80" spans="1:17" x14ac:dyDescent="0.25">
      <c r="A80">
        <f t="shared" si="31"/>
        <v>39</v>
      </c>
      <c r="B80" s="60">
        <f t="shared" si="32"/>
        <v>23.581719719421294</v>
      </c>
      <c r="C80" s="62">
        <f t="shared" si="33"/>
        <v>84.894190989916666</v>
      </c>
      <c r="D80">
        <f t="shared" si="22"/>
        <v>4206.4791078820763</v>
      </c>
      <c r="E80">
        <f t="shared" si="34"/>
        <v>0</v>
      </c>
      <c r="F80">
        <f t="shared" si="35"/>
        <v>2</v>
      </c>
      <c r="G80" s="60">
        <f t="shared" si="28"/>
        <v>9.0805600984636321</v>
      </c>
      <c r="H80">
        <v>2</v>
      </c>
      <c r="I80" s="60">
        <f t="shared" si="29"/>
        <v>4.5402800492318161</v>
      </c>
      <c r="J80" s="60">
        <f t="shared" si="30"/>
        <v>1999.9999999999998</v>
      </c>
      <c r="K80" s="61">
        <f t="shared" si="23"/>
        <v>161.14176765787008</v>
      </c>
      <c r="L80">
        <f t="shared" si="24"/>
        <v>29.400000000000002</v>
      </c>
      <c r="M80" s="60">
        <f t="shared" si="25"/>
        <v>129.4595198601406</v>
      </c>
      <c r="N80">
        <f t="shared" si="26"/>
        <v>0</v>
      </c>
      <c r="O80" s="60">
        <f t="shared" si="36"/>
        <v>158.85951986014061</v>
      </c>
      <c r="P80" s="60">
        <f t="shared" si="37"/>
        <v>2.2822477977294682</v>
      </c>
      <c r="Q80" s="60">
        <f t="shared" si="27"/>
        <v>1.5214985318196454E-2</v>
      </c>
    </row>
    <row r="81" spans="1:17" x14ac:dyDescent="0.25">
      <c r="A81">
        <f t="shared" si="31"/>
        <v>39.5</v>
      </c>
      <c r="B81" s="60">
        <f t="shared" si="32"/>
        <v>23.589327212080391</v>
      </c>
      <c r="C81" s="62">
        <f t="shared" si="33"/>
        <v>84.921577963489412</v>
      </c>
      <c r="D81">
        <f t="shared" si="22"/>
        <v>4207.8361233718115</v>
      </c>
      <c r="E81">
        <f t="shared" si="34"/>
        <v>0</v>
      </c>
      <c r="F81">
        <f t="shared" si="35"/>
        <v>2</v>
      </c>
      <c r="G81" s="60">
        <f t="shared" si="28"/>
        <v>9.0776316429944082</v>
      </c>
      <c r="H81">
        <v>2</v>
      </c>
      <c r="I81" s="60">
        <f t="shared" si="29"/>
        <v>4.5388158214972041</v>
      </c>
      <c r="J81" s="60">
        <f t="shared" si="30"/>
        <v>1999.9999999999998</v>
      </c>
      <c r="K81" s="61">
        <f t="shared" si="23"/>
        <v>161.08979988432955</v>
      </c>
      <c r="L81">
        <f t="shared" si="24"/>
        <v>29.400000000000002</v>
      </c>
      <c r="M81" s="60">
        <f t="shared" si="25"/>
        <v>129.54306094345651</v>
      </c>
      <c r="N81">
        <f t="shared" si="26"/>
        <v>0</v>
      </c>
      <c r="O81" s="60">
        <f t="shared" si="36"/>
        <v>158.94306094345652</v>
      </c>
      <c r="P81" s="60">
        <f t="shared" si="37"/>
        <v>2.1467389408730355</v>
      </c>
      <c r="Q81" s="60">
        <f t="shared" si="27"/>
        <v>1.4311592939153571E-2</v>
      </c>
    </row>
    <row r="82" spans="1:17" x14ac:dyDescent="0.25">
      <c r="A82">
        <f t="shared" si="31"/>
        <v>40</v>
      </c>
      <c r="B82" s="60">
        <f t="shared" si="32"/>
        <v>23.596483008549967</v>
      </c>
      <c r="C82" s="62">
        <f t="shared" si="33"/>
        <v>84.947338830779884</v>
      </c>
      <c r="D82">
        <f t="shared" si="22"/>
        <v>4209.1125658326537</v>
      </c>
      <c r="E82">
        <f t="shared" si="34"/>
        <v>0</v>
      </c>
      <c r="F82">
        <f t="shared" si="35"/>
        <v>2</v>
      </c>
      <c r="G82" s="60">
        <f t="shared" si="28"/>
        <v>9.0748787884931872</v>
      </c>
      <c r="H82">
        <v>2</v>
      </c>
      <c r="I82" s="60">
        <f t="shared" si="29"/>
        <v>4.5374393942465936</v>
      </c>
      <c r="J82" s="60">
        <f t="shared" si="30"/>
        <v>2000</v>
      </c>
      <c r="K82" s="61">
        <f t="shared" si="23"/>
        <v>161.04094828975593</v>
      </c>
      <c r="L82">
        <f t="shared" si="24"/>
        <v>29.400000000000002</v>
      </c>
      <c r="M82" s="60">
        <f t="shared" si="25"/>
        <v>129.62166635424899</v>
      </c>
      <c r="N82">
        <f t="shared" si="26"/>
        <v>0</v>
      </c>
      <c r="O82" s="60">
        <f t="shared" si="36"/>
        <v>159.02166635424899</v>
      </c>
      <c r="P82" s="60">
        <f t="shared" si="37"/>
        <v>2.0192819355069389</v>
      </c>
      <c r="Q82" s="60">
        <f t="shared" si="27"/>
        <v>1.346187957004626E-2</v>
      </c>
    </row>
    <row r="83" spans="1:17" x14ac:dyDescent="0.25">
      <c r="A83">
        <f t="shared" si="31"/>
        <v>40.5</v>
      </c>
      <c r="B83" s="60">
        <f t="shared" si="32"/>
        <v>23.603213948334989</v>
      </c>
      <c r="C83" s="62">
        <f t="shared" si="33"/>
        <v>84.971570214005965</v>
      </c>
      <c r="D83">
        <f t="shared" si="22"/>
        <v>4210.313222863565</v>
      </c>
      <c r="E83">
        <f t="shared" si="34"/>
        <v>0</v>
      </c>
      <c r="F83">
        <f t="shared" si="35"/>
        <v>2</v>
      </c>
      <c r="G83" s="60">
        <f t="shared" si="28"/>
        <v>9.0722909009785706</v>
      </c>
      <c r="H83">
        <v>2</v>
      </c>
      <c r="I83" s="60">
        <f t="shared" si="29"/>
        <v>4.5361454504892853</v>
      </c>
      <c r="J83" s="60">
        <f t="shared" si="30"/>
        <v>1999.9999999999998</v>
      </c>
      <c r="K83" s="61">
        <f t="shared" si="23"/>
        <v>160.99502416568393</v>
      </c>
      <c r="L83">
        <f t="shared" si="24"/>
        <v>29.400000000000002</v>
      </c>
      <c r="M83" s="60">
        <f t="shared" si="25"/>
        <v>129.69562653453355</v>
      </c>
      <c r="N83">
        <f t="shared" si="26"/>
        <v>0</v>
      </c>
      <c r="O83" s="60">
        <f t="shared" si="36"/>
        <v>159.09562653453355</v>
      </c>
      <c r="P83" s="60">
        <f t="shared" si="37"/>
        <v>1.8993976311503786</v>
      </c>
      <c r="Q83" s="60">
        <f t="shared" si="27"/>
        <v>1.2662650874335858E-2</v>
      </c>
    </row>
    <row r="84" spans="1:17" x14ac:dyDescent="0.25">
      <c r="A84">
        <f t="shared" si="31"/>
        <v>41</v>
      </c>
      <c r="B84" s="60">
        <f t="shared" si="32"/>
        <v>23.609545273772156</v>
      </c>
      <c r="C84" s="62">
        <f t="shared" si="33"/>
        <v>84.99436298557977</v>
      </c>
      <c r="D84">
        <f t="shared" si="22"/>
        <v>4211.4425971625351</v>
      </c>
      <c r="E84">
        <f t="shared" si="34"/>
        <v>0</v>
      </c>
      <c r="F84">
        <f t="shared" si="35"/>
        <v>2</v>
      </c>
      <c r="G84" s="60">
        <f t="shared" si="28"/>
        <v>9.0698580025263276</v>
      </c>
      <c r="H84">
        <v>2</v>
      </c>
      <c r="I84" s="60">
        <f t="shared" si="29"/>
        <v>4.5349290012631638</v>
      </c>
      <c r="J84" s="60">
        <f t="shared" si="30"/>
        <v>1999.9999999999998</v>
      </c>
      <c r="K84" s="61">
        <f t="shared" si="23"/>
        <v>160.95185044590502</v>
      </c>
      <c r="L84">
        <f t="shared" si="24"/>
        <v>29.400000000000002</v>
      </c>
      <c r="M84" s="60">
        <f t="shared" si="25"/>
        <v>129.76521496881631</v>
      </c>
      <c r="N84">
        <f t="shared" si="26"/>
        <v>0</v>
      </c>
      <c r="O84" s="60">
        <f t="shared" si="36"/>
        <v>159.16521496881631</v>
      </c>
      <c r="P84" s="60">
        <f t="shared" si="37"/>
        <v>1.7866354770887085</v>
      </c>
      <c r="Q84" s="60">
        <f t="shared" si="27"/>
        <v>1.191090318059139E-2</v>
      </c>
    </row>
    <row r="85" spans="1:17" x14ac:dyDescent="0.25">
      <c r="A85">
        <f t="shared" si="31"/>
        <v>41.5</v>
      </c>
      <c r="B85" s="60">
        <f t="shared" si="32"/>
        <v>23.615500725362452</v>
      </c>
      <c r="C85" s="62">
        <f t="shared" si="33"/>
        <v>85.015802611304835</v>
      </c>
      <c r="D85">
        <f t="shared" si="22"/>
        <v>4212.5049235318866</v>
      </c>
      <c r="E85">
        <f t="shared" si="34"/>
        <v>0</v>
      </c>
      <c r="F85">
        <f t="shared" si="35"/>
        <v>2</v>
      </c>
      <c r="G85" s="60">
        <f t="shared" si="28"/>
        <v>9.0675707293961452</v>
      </c>
      <c r="H85">
        <v>2</v>
      </c>
      <c r="I85" s="60">
        <f t="shared" si="29"/>
        <v>4.5337853646980726</v>
      </c>
      <c r="J85" s="60">
        <f t="shared" si="30"/>
        <v>2000</v>
      </c>
      <c r="K85" s="61">
        <f t="shared" si="23"/>
        <v>160.9112609633932</v>
      </c>
      <c r="L85">
        <f t="shared" si="24"/>
        <v>29.400000000000002</v>
      </c>
      <c r="M85" s="60">
        <f t="shared" si="25"/>
        <v>129.83068915874139</v>
      </c>
      <c r="N85">
        <f t="shared" si="26"/>
        <v>0</v>
      </c>
      <c r="O85" s="60">
        <f t="shared" si="36"/>
        <v>159.2306891587414</v>
      </c>
      <c r="P85" s="60">
        <f t="shared" si="37"/>
        <v>1.6805718046518052</v>
      </c>
      <c r="Q85" s="60">
        <f t="shared" si="27"/>
        <v>1.1203812031012035E-2</v>
      </c>
    </row>
    <row r="86" spans="1:17" x14ac:dyDescent="0.25">
      <c r="A86">
        <f t="shared" si="31"/>
        <v>42</v>
      </c>
      <c r="B86" s="60">
        <f t="shared" si="32"/>
        <v>23.621102631377958</v>
      </c>
      <c r="C86" s="62">
        <f t="shared" si="33"/>
        <v>85.035969472960659</v>
      </c>
      <c r="D86">
        <f t="shared" si="22"/>
        <v>4213.5041848622268</v>
      </c>
      <c r="E86">
        <f t="shared" si="34"/>
        <v>0</v>
      </c>
      <c r="F86">
        <f t="shared" si="35"/>
        <v>2</v>
      </c>
      <c r="G86" s="60">
        <f t="shared" si="28"/>
        <v>9.0654202929915577</v>
      </c>
      <c r="H86">
        <v>2</v>
      </c>
      <c r="I86" s="60">
        <f t="shared" si="29"/>
        <v>4.5327101464957789</v>
      </c>
      <c r="J86" s="60">
        <f t="shared" si="30"/>
        <v>2000</v>
      </c>
      <c r="K86" s="61">
        <f t="shared" si="23"/>
        <v>160.87309975750793</v>
      </c>
      <c r="L86">
        <f t="shared" si="24"/>
        <v>29.400000000000002</v>
      </c>
      <c r="M86" s="60">
        <f t="shared" si="25"/>
        <v>129.8922915435069</v>
      </c>
      <c r="N86">
        <f t="shared" si="26"/>
        <v>0</v>
      </c>
      <c r="O86" s="60">
        <f t="shared" si="36"/>
        <v>159.29229154350691</v>
      </c>
      <c r="P86" s="60">
        <f t="shared" si="37"/>
        <v>1.5808082140010242</v>
      </c>
      <c r="Q86" s="60">
        <f t="shared" si="27"/>
        <v>1.0538721426673494E-2</v>
      </c>
    </row>
    <row r="87" spans="1:17" x14ac:dyDescent="0.25">
      <c r="A87">
        <f t="shared" si="31"/>
        <v>42.5</v>
      </c>
      <c r="B87" s="60">
        <f t="shared" si="32"/>
        <v>23.626371992091297</v>
      </c>
      <c r="C87" s="62">
        <f t="shared" si="33"/>
        <v>85.054939171528673</v>
      </c>
      <c r="D87">
        <f t="shared" si="22"/>
        <v>4214.4441271572032</v>
      </c>
      <c r="E87">
        <f t="shared" si="34"/>
        <v>0</v>
      </c>
      <c r="F87">
        <f t="shared" si="35"/>
        <v>2</v>
      </c>
      <c r="G87" s="60">
        <f t="shared" si="28"/>
        <v>9.0633984434431891</v>
      </c>
      <c r="H87">
        <v>2</v>
      </c>
      <c r="I87" s="60">
        <f t="shared" si="29"/>
        <v>4.5316992217215946</v>
      </c>
      <c r="J87" s="60">
        <f t="shared" si="30"/>
        <v>2000.0000000000002</v>
      </c>
      <c r="K87" s="61">
        <f t="shared" si="23"/>
        <v>160.83722042774968</v>
      </c>
      <c r="L87">
        <f t="shared" si="24"/>
        <v>29.400000000000002</v>
      </c>
      <c r="M87" s="60">
        <f t="shared" si="25"/>
        <v>129.95025036885738</v>
      </c>
      <c r="N87">
        <f t="shared" si="26"/>
        <v>0</v>
      </c>
      <c r="O87" s="60">
        <f t="shared" si="36"/>
        <v>159.35025036885739</v>
      </c>
      <c r="P87" s="60">
        <f t="shared" si="37"/>
        <v>1.4869700588922967</v>
      </c>
      <c r="Q87" s="60">
        <f t="shared" si="27"/>
        <v>9.9131337259486443E-3</v>
      </c>
    </row>
    <row r="88" spans="1:17" x14ac:dyDescent="0.25">
      <c r="A88">
        <f t="shared" si="31"/>
        <v>43</v>
      </c>
      <c r="B88" s="60">
        <f t="shared" si="32"/>
        <v>23.631328558954273</v>
      </c>
      <c r="C88" s="62">
        <f t="shared" si="33"/>
        <v>85.072782812235388</v>
      </c>
      <c r="D88">
        <f t="shared" si="22"/>
        <v>4215.3282736572883</v>
      </c>
      <c r="E88">
        <f t="shared" si="34"/>
        <v>0</v>
      </c>
      <c r="F88">
        <f t="shared" si="35"/>
        <v>2</v>
      </c>
      <c r="G88" s="60">
        <f t="shared" si="28"/>
        <v>9.0614974356230569</v>
      </c>
      <c r="H88">
        <v>2</v>
      </c>
      <c r="I88" s="60">
        <f t="shared" si="29"/>
        <v>4.5307487178115284</v>
      </c>
      <c r="J88" s="60">
        <f t="shared" si="30"/>
        <v>2000.0000000000002</v>
      </c>
      <c r="K88" s="61">
        <f t="shared" si="23"/>
        <v>160.80348553065681</v>
      </c>
      <c r="L88">
        <f t="shared" si="24"/>
        <v>29.400000000000002</v>
      </c>
      <c r="M88" s="60">
        <f t="shared" si="25"/>
        <v>130.00478050734088</v>
      </c>
      <c r="N88">
        <f t="shared" si="26"/>
        <v>0</v>
      </c>
      <c r="O88" s="60">
        <f t="shared" si="36"/>
        <v>159.40478050734089</v>
      </c>
      <c r="P88" s="60">
        <f t="shared" si="37"/>
        <v>1.3987050233159266</v>
      </c>
      <c r="Q88" s="60">
        <f t="shared" si="27"/>
        <v>9.3247001554395102E-3</v>
      </c>
    </row>
    <row r="89" spans="1:17" x14ac:dyDescent="0.25">
      <c r="A89">
        <f t="shared" si="31"/>
        <v>43.5</v>
      </c>
      <c r="B89" s="60">
        <f t="shared" si="32"/>
        <v>23.635990909031992</v>
      </c>
      <c r="C89" s="62">
        <f t="shared" si="33"/>
        <v>85.089567272515168</v>
      </c>
      <c r="D89">
        <f t="shared" si="22"/>
        <v>4216.1599381172555</v>
      </c>
      <c r="E89">
        <f t="shared" si="34"/>
        <v>0</v>
      </c>
      <c r="F89">
        <f t="shared" si="35"/>
        <v>2</v>
      </c>
      <c r="G89" s="60">
        <f t="shared" si="28"/>
        <v>9.0597099974134281</v>
      </c>
      <c r="H89">
        <v>2</v>
      </c>
      <c r="I89" s="60">
        <f t="shared" si="29"/>
        <v>4.529854998706714</v>
      </c>
      <c r="J89" s="60">
        <f t="shared" si="30"/>
        <v>2000</v>
      </c>
      <c r="K89" s="61">
        <f t="shared" si="23"/>
        <v>160.77176601671098</v>
      </c>
      <c r="L89">
        <f t="shared" si="24"/>
        <v>29.400000000000002</v>
      </c>
      <c r="M89" s="60">
        <f t="shared" si="25"/>
        <v>130.05608423240002</v>
      </c>
      <c r="N89">
        <f t="shared" si="26"/>
        <v>0</v>
      </c>
      <c r="O89" s="60">
        <f t="shared" si="36"/>
        <v>159.45608423240003</v>
      </c>
      <c r="P89" s="60">
        <f t="shared" si="37"/>
        <v>1.3156817843109536</v>
      </c>
      <c r="Q89" s="60">
        <f t="shared" si="27"/>
        <v>8.7712118954063577E-3</v>
      </c>
    </row>
    <row r="90" spans="1:17" x14ac:dyDescent="0.25">
      <c r="A90">
        <f t="shared" si="31"/>
        <v>44</v>
      </c>
      <c r="B90" s="60">
        <f t="shared" si="32"/>
        <v>23.640376514979696</v>
      </c>
      <c r="C90" s="62">
        <f t="shared" si="33"/>
        <v>85.105355453926904</v>
      </c>
      <c r="D90">
        <f t="shared" si="22"/>
        <v>4216.9422372885592</v>
      </c>
      <c r="E90">
        <f t="shared" si="34"/>
        <v>0</v>
      </c>
      <c r="F90">
        <f t="shared" si="35"/>
        <v>2</v>
      </c>
      <c r="G90" s="60">
        <f t="shared" si="28"/>
        <v>9.058029300068192</v>
      </c>
      <c r="H90">
        <v>2</v>
      </c>
      <c r="I90" s="60">
        <f t="shared" si="29"/>
        <v>4.529014650034096</v>
      </c>
      <c r="J90" s="60">
        <f t="shared" si="30"/>
        <v>2000.0000000000002</v>
      </c>
      <c r="K90" s="61">
        <f t="shared" si="23"/>
        <v>160.74194070437647</v>
      </c>
      <c r="L90">
        <f t="shared" si="24"/>
        <v>29.400000000000002</v>
      </c>
      <c r="M90" s="60">
        <f t="shared" si="25"/>
        <v>130.10435194875063</v>
      </c>
      <c r="N90">
        <f t="shared" si="26"/>
        <v>0</v>
      </c>
      <c r="O90" s="60">
        <f t="shared" si="36"/>
        <v>159.50435194875064</v>
      </c>
      <c r="P90" s="60">
        <f t="shared" si="37"/>
        <v>1.2375887556258363</v>
      </c>
      <c r="Q90" s="60">
        <f t="shared" si="27"/>
        <v>8.2505917041722412E-3</v>
      </c>
    </row>
    <row r="91" spans="1:17" x14ac:dyDescent="0.25">
      <c r="A91">
        <f t="shared" si="31"/>
        <v>44.5</v>
      </c>
      <c r="B91" s="60">
        <f t="shared" si="32"/>
        <v>23.644501810831784</v>
      </c>
      <c r="C91" s="62">
        <f t="shared" si="33"/>
        <v>85.120206518994422</v>
      </c>
      <c r="D91">
        <f t="shared" si="22"/>
        <v>4217.6781026547033</v>
      </c>
      <c r="E91">
        <f t="shared" si="34"/>
        <v>0</v>
      </c>
      <c r="F91">
        <f t="shared" si="35"/>
        <v>2</v>
      </c>
      <c r="G91" s="60">
        <f t="shared" si="28"/>
        <v>9.0564489305176465</v>
      </c>
      <c r="H91">
        <v>2</v>
      </c>
      <c r="I91" s="60">
        <f t="shared" si="29"/>
        <v>4.5282244652588233</v>
      </c>
      <c r="J91" s="60">
        <f t="shared" si="30"/>
        <v>2000</v>
      </c>
      <c r="K91" s="61">
        <f t="shared" si="23"/>
        <v>160.71389578862608</v>
      </c>
      <c r="L91">
        <f t="shared" si="24"/>
        <v>29.400000000000002</v>
      </c>
      <c r="M91" s="60">
        <f t="shared" si="25"/>
        <v>130.14976288138868</v>
      </c>
      <c r="N91">
        <f t="shared" si="26"/>
        <v>0</v>
      </c>
      <c r="O91" s="60">
        <f t="shared" si="36"/>
        <v>159.54976288138869</v>
      </c>
      <c r="P91" s="60">
        <f t="shared" si="37"/>
        <v>1.1641329072373878</v>
      </c>
      <c r="Q91" s="60">
        <f t="shared" si="27"/>
        <v>7.7608860482492525E-3</v>
      </c>
    </row>
    <row r="92" spans="1:17" x14ac:dyDescent="0.25">
      <c r="A92">
        <f t="shared" si="31"/>
        <v>45</v>
      </c>
      <c r="B92" s="60">
        <f t="shared" si="32"/>
        <v>23.64838225385591</v>
      </c>
      <c r="C92" s="62">
        <f t="shared" si="33"/>
        <v>85.134176113881281</v>
      </c>
      <c r="D92">
        <f t="shared" si="22"/>
        <v>4218.3702914647029</v>
      </c>
      <c r="E92">
        <f t="shared" si="34"/>
        <v>0</v>
      </c>
      <c r="F92">
        <f t="shared" si="35"/>
        <v>2</v>
      </c>
      <c r="G92" s="60">
        <f t="shared" si="28"/>
        <v>9.0549628654795153</v>
      </c>
      <c r="H92">
        <v>2</v>
      </c>
      <c r="I92" s="60">
        <f t="shared" si="29"/>
        <v>4.5274814327397577</v>
      </c>
      <c r="J92" s="60">
        <f t="shared" si="30"/>
        <v>2000.0000000000002</v>
      </c>
      <c r="K92" s="61">
        <f t="shared" si="23"/>
        <v>160.68752438152097</v>
      </c>
      <c r="L92">
        <f t="shared" si="24"/>
        <v>29.400000000000002</v>
      </c>
      <c r="M92" s="60">
        <f t="shared" si="25"/>
        <v>130.19248572545584</v>
      </c>
      <c r="N92">
        <f t="shared" si="26"/>
        <v>0</v>
      </c>
      <c r="O92" s="60">
        <f t="shared" si="36"/>
        <v>159.59248572545584</v>
      </c>
      <c r="P92" s="60">
        <f t="shared" si="37"/>
        <v>1.0950386560651282</v>
      </c>
      <c r="Q92" s="60">
        <f t="shared" si="27"/>
        <v>7.3002577071008545E-3</v>
      </c>
    </row>
    <row r="93" spans="1:17" x14ac:dyDescent="0.25">
      <c r="A93">
        <f t="shared" si="31"/>
        <v>45.5</v>
      </c>
      <c r="B93" s="60">
        <f t="shared" si="32"/>
        <v>23.652032382709461</v>
      </c>
      <c r="C93" s="62">
        <f t="shared" si="33"/>
        <v>85.147316577754054</v>
      </c>
      <c r="D93">
        <f t="shared" si="22"/>
        <v>4219.0213971069634</v>
      </c>
      <c r="E93">
        <f t="shared" si="34"/>
        <v>0</v>
      </c>
      <c r="F93">
        <f t="shared" si="35"/>
        <v>2</v>
      </c>
      <c r="G93" s="60">
        <f t="shared" si="28"/>
        <v>9.0535654472497296</v>
      </c>
      <c r="H93">
        <v>2</v>
      </c>
      <c r="I93" s="60">
        <f t="shared" si="29"/>
        <v>4.5267827236248648</v>
      </c>
      <c r="J93" s="60">
        <f t="shared" si="30"/>
        <v>2000.0000000000002</v>
      </c>
      <c r="K93" s="61">
        <f t="shared" si="23"/>
        <v>160.66272608259854</v>
      </c>
      <c r="L93">
        <f t="shared" si="24"/>
        <v>29.400000000000002</v>
      </c>
      <c r="M93" s="60">
        <f t="shared" si="25"/>
        <v>130.23267925908735</v>
      </c>
      <c r="N93">
        <f t="shared" si="26"/>
        <v>0</v>
      </c>
      <c r="O93" s="60">
        <f t="shared" si="36"/>
        <v>159.63267925908735</v>
      </c>
      <c r="P93" s="60">
        <f t="shared" si="37"/>
        <v>1.030046823511185</v>
      </c>
      <c r="Q93" s="60">
        <f t="shared" si="27"/>
        <v>6.8669788234079002E-3</v>
      </c>
    </row>
    <row r="94" spans="1:17" x14ac:dyDescent="0.25">
      <c r="A94">
        <f t="shared" si="31"/>
        <v>46</v>
      </c>
      <c r="B94" s="60">
        <f t="shared" si="32"/>
        <v>23.655465872121166</v>
      </c>
      <c r="C94" s="62">
        <f t="shared" si="33"/>
        <v>85.159677139636202</v>
      </c>
      <c r="D94">
        <f t="shared" si="22"/>
        <v>4219.6338588633298</v>
      </c>
      <c r="E94">
        <f t="shared" si="34"/>
        <v>0</v>
      </c>
      <c r="F94">
        <f t="shared" si="35"/>
        <v>2</v>
      </c>
      <c r="G94" s="60">
        <f t="shared" si="28"/>
        <v>9.0522513610563138</v>
      </c>
      <c r="H94">
        <v>2</v>
      </c>
      <c r="I94" s="60">
        <f t="shared" si="29"/>
        <v>4.5261256805281569</v>
      </c>
      <c r="J94" s="60">
        <f t="shared" si="30"/>
        <v>2000</v>
      </c>
      <c r="K94" s="61">
        <f t="shared" si="23"/>
        <v>160.63940657699914</v>
      </c>
      <c r="L94">
        <f t="shared" si="24"/>
        <v>29.400000000000002</v>
      </c>
      <c r="M94" s="60">
        <f t="shared" si="25"/>
        <v>130.27049292126276</v>
      </c>
      <c r="N94">
        <f t="shared" si="26"/>
        <v>0</v>
      </c>
      <c r="O94" s="60">
        <f t="shared" si="36"/>
        <v>159.67049292126276</v>
      </c>
      <c r="P94" s="60">
        <f t="shared" si="37"/>
        <v>0.96891365573637245</v>
      </c>
      <c r="Q94" s="60">
        <f t="shared" si="27"/>
        <v>6.4594243715758162E-3</v>
      </c>
    </row>
    <row r="95" spans="1:17" x14ac:dyDescent="0.25">
      <c r="A95">
        <f t="shared" si="31"/>
        <v>46.5</v>
      </c>
      <c r="B95" s="60">
        <f t="shared" si="32"/>
        <v>23.658695584306955</v>
      </c>
      <c r="C95" s="62">
        <f t="shared" si="33"/>
        <v>85.171304103505037</v>
      </c>
      <c r="D95">
        <f t="shared" si="22"/>
        <v>4220.2099710805733</v>
      </c>
      <c r="E95">
        <f t="shared" si="34"/>
        <v>0</v>
      </c>
      <c r="F95">
        <f t="shared" si="35"/>
        <v>2</v>
      </c>
      <c r="G95" s="60">
        <f t="shared" si="28"/>
        <v>9.0510156138687563</v>
      </c>
      <c r="H95">
        <v>2</v>
      </c>
      <c r="I95" s="60">
        <f t="shared" si="29"/>
        <v>4.5255078069343782</v>
      </c>
      <c r="J95" s="60">
        <f t="shared" si="30"/>
        <v>2000</v>
      </c>
      <c r="K95" s="61">
        <f t="shared" si="23"/>
        <v>160.61747725942158</v>
      </c>
      <c r="L95">
        <f t="shared" si="24"/>
        <v>29.400000000000002</v>
      </c>
      <c r="M95" s="60">
        <f t="shared" si="25"/>
        <v>130.30606735657904</v>
      </c>
      <c r="N95">
        <f t="shared" si="26"/>
        <v>0</v>
      </c>
      <c r="O95" s="60">
        <f t="shared" si="36"/>
        <v>159.70606735657904</v>
      </c>
      <c r="P95" s="60">
        <f t="shared" si="37"/>
        <v>0.91140990284253576</v>
      </c>
      <c r="Q95" s="60">
        <f t="shared" si="27"/>
        <v>6.0760660189502387E-3</v>
      </c>
    </row>
    <row r="96" spans="1:17" x14ac:dyDescent="0.25">
      <c r="A96">
        <f t="shared" si="31"/>
        <v>47</v>
      </c>
      <c r="B96" s="60">
        <f t="shared" si="32"/>
        <v>23.661733617316429</v>
      </c>
      <c r="C96" s="62">
        <f t="shared" si="33"/>
        <v>85.182241022339142</v>
      </c>
      <c r="D96">
        <f t="shared" si="22"/>
        <v>4220.7518917943917</v>
      </c>
      <c r="E96">
        <f t="shared" si="34"/>
        <v>0</v>
      </c>
      <c r="F96">
        <f t="shared" si="35"/>
        <v>2</v>
      </c>
      <c r="G96" s="60">
        <f t="shared" si="28"/>
        <v>9.04985351456323</v>
      </c>
      <c r="H96">
        <v>2</v>
      </c>
      <c r="I96" s="60">
        <f t="shared" si="29"/>
        <v>4.524926757281615</v>
      </c>
      <c r="J96" s="60">
        <f t="shared" si="30"/>
        <v>1999.9999999999998</v>
      </c>
      <c r="K96" s="61">
        <f t="shared" si="23"/>
        <v>160.59685488213913</v>
      </c>
      <c r="L96">
        <f t="shared" si="24"/>
        <v>29.400000000000002</v>
      </c>
      <c r="M96" s="60">
        <f t="shared" si="25"/>
        <v>130.339534928772</v>
      </c>
      <c r="N96">
        <f t="shared" si="26"/>
        <v>0</v>
      </c>
      <c r="O96" s="60">
        <f t="shared" si="36"/>
        <v>159.739534928772</v>
      </c>
      <c r="P96" s="60">
        <f t="shared" si="37"/>
        <v>0.8573199533671243</v>
      </c>
      <c r="Q96" s="60">
        <f t="shared" si="27"/>
        <v>5.7154663557808291E-3</v>
      </c>
    </row>
    <row r="97" spans="1:17" x14ac:dyDescent="0.25">
      <c r="A97">
        <f t="shared" si="31"/>
        <v>47.5</v>
      </c>
      <c r="B97" s="60">
        <f t="shared" si="32"/>
        <v>23.664591350494319</v>
      </c>
      <c r="C97" s="62">
        <f t="shared" si="33"/>
        <v>85.19252886177955</v>
      </c>
      <c r="D97">
        <f t="shared" si="22"/>
        <v>4221.2616508387591</v>
      </c>
      <c r="E97">
        <f t="shared" si="34"/>
        <v>0</v>
      </c>
      <c r="F97">
        <f t="shared" si="35"/>
        <v>2</v>
      </c>
      <c r="G97" s="60">
        <f t="shared" si="28"/>
        <v>9.048760655351737</v>
      </c>
      <c r="H97">
        <v>2</v>
      </c>
      <c r="I97" s="60">
        <f t="shared" si="29"/>
        <v>4.5243803276758685</v>
      </c>
      <c r="J97" s="60">
        <f t="shared" si="30"/>
        <v>2000</v>
      </c>
      <c r="K97" s="61">
        <f t="shared" si="23"/>
        <v>160.57746122544486</v>
      </c>
      <c r="L97">
        <f t="shared" si="24"/>
        <v>29.400000000000002</v>
      </c>
      <c r="M97" s="60">
        <f t="shared" si="25"/>
        <v>130.37102020471605</v>
      </c>
      <c r="N97">
        <f t="shared" si="26"/>
        <v>0</v>
      </c>
      <c r="O97" s="60">
        <f t="shared" si="36"/>
        <v>159.77102020471605</v>
      </c>
      <c r="P97" s="60">
        <f t="shared" si="37"/>
        <v>0.80644102072881196</v>
      </c>
      <c r="Q97" s="60">
        <f t="shared" si="27"/>
        <v>5.3762734715254133E-3</v>
      </c>
    </row>
    <row r="98" spans="1:17" x14ac:dyDescent="0.25">
      <c r="A98">
        <f t="shared" si="31"/>
        <v>48</v>
      </c>
      <c r="B98" s="60">
        <f t="shared" si="32"/>
        <v>23.667279487230083</v>
      </c>
      <c r="C98" s="62">
        <f t="shared" si="33"/>
        <v>85.202206154028303</v>
      </c>
      <c r="D98">
        <f t="shared" ref="D98:D129" si="38">(C98*GearRatio)/(2*PI()*WheelRadius*0.001*60)</f>
        <v>4221.7411574715516</v>
      </c>
      <c r="E98">
        <f t="shared" si="34"/>
        <v>0</v>
      </c>
      <c r="F98">
        <f t="shared" si="35"/>
        <v>2</v>
      </c>
      <c r="G98" s="60">
        <f t="shared" si="28"/>
        <v>9.0477328943898616</v>
      </c>
      <c r="H98">
        <v>2</v>
      </c>
      <c r="I98" s="60">
        <f t="shared" si="29"/>
        <v>4.5238664471949308</v>
      </c>
      <c r="J98" s="60">
        <f t="shared" si="30"/>
        <v>2000</v>
      </c>
      <c r="K98" s="61">
        <f t="shared" ref="K98:K129" si="39">(G98*GearRatio*GearEfficency)/WheelRadius</f>
        <v>160.55922278901247</v>
      </c>
      <c r="L98">
        <f t="shared" ref="L98:L129" si="40">Froll</f>
        <v>29.400000000000002</v>
      </c>
      <c r="M98" s="60">
        <f t="shared" ref="M98:M129" si="41">Cd*Density*Area*C98*C98*0.03858025308642</f>
        <v>130.40064041054686</v>
      </c>
      <c r="N98">
        <f t="shared" ref="N98:N129" si="42">(KerbWeight+LoadWeight)*9.8*SIN(E98*0.01745329)</f>
        <v>0</v>
      </c>
      <c r="O98" s="60">
        <f t="shared" si="36"/>
        <v>159.80064041054686</v>
      </c>
      <c r="P98" s="60">
        <f t="shared" si="37"/>
        <v>0.75858237846560428</v>
      </c>
      <c r="Q98" s="60">
        <f t="shared" ref="Q98:Q129" si="43">P98/(KerbWeight+LoadWeight)</f>
        <v>5.0572158564373615E-3</v>
      </c>
    </row>
    <row r="99" spans="1:17" x14ac:dyDescent="0.25">
      <c r="A99">
        <f t="shared" si="31"/>
        <v>48.5</v>
      </c>
      <c r="B99" s="60">
        <f t="shared" si="32"/>
        <v>23.669808095158302</v>
      </c>
      <c r="C99" s="62">
        <f t="shared" si="33"/>
        <v>85.211309142569888</v>
      </c>
      <c r="D99">
        <f t="shared" si="38"/>
        <v>4222.1922075454486</v>
      </c>
      <c r="E99">
        <f t="shared" si="34"/>
        <v>0</v>
      </c>
      <c r="F99">
        <f t="shared" si="35"/>
        <v>2</v>
      </c>
      <c r="G99" s="60">
        <f t="shared" si="28"/>
        <v>9.0467663394842539</v>
      </c>
      <c r="H99">
        <v>2</v>
      </c>
      <c r="I99" s="60">
        <f t="shared" si="29"/>
        <v>4.523383169742127</v>
      </c>
      <c r="J99" s="60">
        <f t="shared" si="30"/>
        <v>2000</v>
      </c>
      <c r="K99" s="61">
        <f t="shared" si="39"/>
        <v>160.54207050277253</v>
      </c>
      <c r="L99">
        <f t="shared" si="40"/>
        <v>29.400000000000002</v>
      </c>
      <c r="M99" s="60">
        <f t="shared" si="41"/>
        <v>130.42850586146392</v>
      </c>
      <c r="N99">
        <f t="shared" si="42"/>
        <v>0</v>
      </c>
      <c r="O99" s="60">
        <f t="shared" si="36"/>
        <v>159.82850586146392</v>
      </c>
      <c r="P99" s="60">
        <f t="shared" si="37"/>
        <v>0.71356464130860786</v>
      </c>
      <c r="Q99" s="60">
        <f t="shared" si="43"/>
        <v>4.7570976087240521E-3</v>
      </c>
    </row>
    <row r="100" spans="1:17" x14ac:dyDescent="0.25">
      <c r="A100">
        <f t="shared" si="31"/>
        <v>49</v>
      </c>
      <c r="B100" s="60">
        <f t="shared" si="32"/>
        <v>23.672186643962664</v>
      </c>
      <c r="C100" s="62">
        <f t="shared" si="33"/>
        <v>85.219871918265596</v>
      </c>
      <c r="D100">
        <f t="shared" si="38"/>
        <v>4222.616490251361</v>
      </c>
      <c r="E100">
        <f t="shared" si="34"/>
        <v>0</v>
      </c>
      <c r="F100">
        <f t="shared" si="35"/>
        <v>2</v>
      </c>
      <c r="G100" s="60">
        <f t="shared" si="28"/>
        <v>9.0458573328266212</v>
      </c>
      <c r="H100">
        <v>2</v>
      </c>
      <c r="I100" s="60">
        <f t="shared" si="29"/>
        <v>4.5229286664133106</v>
      </c>
      <c r="J100" s="60">
        <f t="shared" si="30"/>
        <v>2000.0000000000002</v>
      </c>
      <c r="K100" s="61">
        <f t="shared" si="39"/>
        <v>160.52593945600501</v>
      </c>
      <c r="L100">
        <f t="shared" si="40"/>
        <v>29.400000000000002</v>
      </c>
      <c r="M100" s="60">
        <f t="shared" si="41"/>
        <v>130.45472036669025</v>
      </c>
      <c r="N100">
        <f t="shared" si="42"/>
        <v>0</v>
      </c>
      <c r="O100" s="60">
        <f t="shared" si="36"/>
        <v>159.85472036669026</v>
      </c>
      <c r="P100" s="60">
        <f t="shared" si="37"/>
        <v>0.6712190893147465</v>
      </c>
      <c r="Q100" s="60">
        <f t="shared" si="43"/>
        <v>4.4747939287649767E-3</v>
      </c>
    </row>
    <row r="101" spans="1:17" x14ac:dyDescent="0.25">
      <c r="A101">
        <f t="shared" si="31"/>
        <v>49.5</v>
      </c>
      <c r="B101" s="60">
        <f t="shared" si="32"/>
        <v>23.674424040927047</v>
      </c>
      <c r="C101" s="62">
        <f t="shared" si="33"/>
        <v>85.227926547337375</v>
      </c>
      <c r="D101">
        <f t="shared" si="38"/>
        <v>4223.0155944599901</v>
      </c>
      <c r="E101">
        <f t="shared" si="34"/>
        <v>0</v>
      </c>
      <c r="F101">
        <f t="shared" si="35"/>
        <v>2</v>
      </c>
      <c r="G101" s="60">
        <f t="shared" si="28"/>
        <v>9.0450024366863069</v>
      </c>
      <c r="H101">
        <v>2</v>
      </c>
      <c r="I101" s="60">
        <f t="shared" si="29"/>
        <v>4.5225012183431534</v>
      </c>
      <c r="J101" s="60">
        <f t="shared" si="30"/>
        <v>2000</v>
      </c>
      <c r="K101" s="61">
        <f t="shared" si="39"/>
        <v>160.51076864344273</v>
      </c>
      <c r="L101">
        <f t="shared" si="40"/>
        <v>29.400000000000002</v>
      </c>
      <c r="M101" s="60">
        <f t="shared" si="41"/>
        <v>130.47938161098713</v>
      </c>
      <c r="N101">
        <f t="shared" si="42"/>
        <v>0</v>
      </c>
      <c r="O101" s="60">
        <f t="shared" si="36"/>
        <v>159.87938161098714</v>
      </c>
      <c r="P101" s="60">
        <f t="shared" si="37"/>
        <v>0.63138703245559213</v>
      </c>
      <c r="Q101" s="60">
        <f t="shared" si="43"/>
        <v>4.2092468830372811E-3</v>
      </c>
    </row>
    <row r="102" spans="1:17" x14ac:dyDescent="0.25">
      <c r="A102">
        <f t="shared" si="31"/>
        <v>50</v>
      </c>
      <c r="B102" s="60">
        <f t="shared" si="32"/>
        <v>23.676528664368565</v>
      </c>
      <c r="C102" s="62">
        <f t="shared" si="33"/>
        <v>85.235503191726835</v>
      </c>
      <c r="D102">
        <f t="shared" si="38"/>
        <v>4223.3910146855733</v>
      </c>
      <c r="E102">
        <f t="shared" si="34"/>
        <v>0</v>
      </c>
      <c r="F102">
        <f t="shared" si="35"/>
        <v>2</v>
      </c>
      <c r="G102" s="60">
        <f t="shared" si="28"/>
        <v>9.0441984199984429</v>
      </c>
      <c r="H102">
        <v>2</v>
      </c>
      <c r="I102" s="60">
        <f t="shared" si="29"/>
        <v>4.5220992099992214</v>
      </c>
      <c r="J102" s="60">
        <f t="shared" si="30"/>
        <v>2000</v>
      </c>
      <c r="K102" s="61">
        <f t="shared" si="39"/>
        <v>160.49650072726752</v>
      </c>
      <c r="L102">
        <f t="shared" si="40"/>
        <v>29.400000000000002</v>
      </c>
      <c r="M102" s="60">
        <f t="shared" si="41"/>
        <v>130.50258151404887</v>
      </c>
      <c r="N102">
        <f t="shared" si="42"/>
        <v>0</v>
      </c>
      <c r="O102" s="60">
        <f t="shared" si="36"/>
        <v>159.90258151404888</v>
      </c>
      <c r="P102" s="60">
        <f t="shared" si="37"/>
        <v>0.59391921321864061</v>
      </c>
      <c r="Q102" s="60">
        <f t="shared" si="43"/>
        <v>3.9594614214576041E-3</v>
      </c>
    </row>
    <row r="103" spans="1:17" x14ac:dyDescent="0.25">
      <c r="A103">
        <f t="shared" si="31"/>
        <v>50.5</v>
      </c>
      <c r="B103" s="60">
        <f t="shared" si="32"/>
        <v>23.678508395079295</v>
      </c>
      <c r="C103" s="62">
        <f t="shared" si="33"/>
        <v>85.242630222285456</v>
      </c>
      <c r="D103">
        <f t="shared" si="38"/>
        <v>4223.7441566944253</v>
      </c>
      <c r="E103">
        <f t="shared" si="34"/>
        <v>0</v>
      </c>
      <c r="F103">
        <f t="shared" si="35"/>
        <v>2</v>
      </c>
      <c r="G103" s="60">
        <f t="shared" si="28"/>
        <v>9.04344224578902</v>
      </c>
      <c r="H103">
        <v>2</v>
      </c>
      <c r="I103" s="60">
        <f t="shared" si="29"/>
        <v>4.52172112289451</v>
      </c>
      <c r="J103" s="60">
        <f t="shared" si="30"/>
        <v>2000</v>
      </c>
      <c r="K103" s="61">
        <f t="shared" si="39"/>
        <v>160.48308181395791</v>
      </c>
      <c r="L103">
        <f t="shared" si="40"/>
        <v>29.400000000000002</v>
      </c>
      <c r="M103" s="60">
        <f t="shared" si="41"/>
        <v>130.52440656903025</v>
      </c>
      <c r="N103">
        <f t="shared" si="42"/>
        <v>0</v>
      </c>
      <c r="O103" s="60">
        <f t="shared" si="36"/>
        <v>159.92440656903025</v>
      </c>
      <c r="P103" s="60">
        <f t="shared" si="37"/>
        <v>0.55867524492765597</v>
      </c>
      <c r="Q103" s="60">
        <f t="shared" si="43"/>
        <v>3.7245016328510397E-3</v>
      </c>
    </row>
    <row r="104" spans="1:17" x14ac:dyDescent="0.25">
      <c r="A104">
        <f t="shared" si="31"/>
        <v>51</v>
      </c>
      <c r="B104" s="60">
        <f t="shared" si="32"/>
        <v>23.680370645895721</v>
      </c>
      <c r="C104" s="62">
        <f t="shared" si="33"/>
        <v>85.249334325224595</v>
      </c>
      <c r="D104">
        <f t="shared" si="38"/>
        <v>4224.0763427795</v>
      </c>
      <c r="E104">
        <f t="shared" si="34"/>
        <v>0</v>
      </c>
      <c r="F104">
        <f t="shared" si="35"/>
        <v>2</v>
      </c>
      <c r="G104" s="60">
        <f t="shared" si="28"/>
        <v>9.0427310593824668</v>
      </c>
      <c r="H104">
        <v>2</v>
      </c>
      <c r="I104" s="60">
        <f t="shared" si="29"/>
        <v>4.5213655296912334</v>
      </c>
      <c r="J104" s="60">
        <f t="shared" si="30"/>
        <v>2000</v>
      </c>
      <c r="K104" s="61">
        <f t="shared" si="39"/>
        <v>160.47046124502347</v>
      </c>
      <c r="L104">
        <f t="shared" si="40"/>
        <v>29.400000000000002</v>
      </c>
      <c r="M104" s="60">
        <f t="shared" si="41"/>
        <v>130.54493816139313</v>
      </c>
      <c r="N104">
        <f t="shared" si="42"/>
        <v>0</v>
      </c>
      <c r="O104" s="60">
        <f t="shared" si="36"/>
        <v>159.94493816139314</v>
      </c>
      <c r="P104" s="60">
        <f t="shared" si="37"/>
        <v>0.52552308363033262</v>
      </c>
      <c r="Q104" s="60">
        <f t="shared" si="43"/>
        <v>3.5034872242022176E-3</v>
      </c>
    </row>
    <row r="105" spans="1:17" x14ac:dyDescent="0.25">
      <c r="A105">
        <f t="shared" si="31"/>
        <v>51.5</v>
      </c>
      <c r="B105" s="60">
        <f t="shared" si="32"/>
        <v>23.682122389507821</v>
      </c>
      <c r="C105" s="62">
        <f t="shared" si="33"/>
        <v>85.255640602228155</v>
      </c>
      <c r="D105">
        <f t="shared" si="38"/>
        <v>4224.3888167209407</v>
      </c>
      <c r="E105">
        <f t="shared" si="34"/>
        <v>0</v>
      </c>
      <c r="F105">
        <f t="shared" si="35"/>
        <v>2</v>
      </c>
      <c r="G105" s="60">
        <f t="shared" si="28"/>
        <v>9.0420621773410392</v>
      </c>
      <c r="H105">
        <v>2</v>
      </c>
      <c r="I105" s="60">
        <f t="shared" si="29"/>
        <v>4.5210310886705196</v>
      </c>
      <c r="J105" s="60">
        <f t="shared" si="30"/>
        <v>2000</v>
      </c>
      <c r="K105" s="61">
        <f t="shared" si="39"/>
        <v>160.45859140072517</v>
      </c>
      <c r="L105">
        <f t="shared" si="40"/>
        <v>29.400000000000002</v>
      </c>
      <c r="M105" s="60">
        <f t="shared" si="41"/>
        <v>130.56425286919284</v>
      </c>
      <c r="N105">
        <f t="shared" si="42"/>
        <v>0</v>
      </c>
      <c r="O105" s="60">
        <f t="shared" si="36"/>
        <v>159.96425286919285</v>
      </c>
      <c r="P105" s="60">
        <f t="shared" si="37"/>
        <v>0.49433853153232121</v>
      </c>
      <c r="Q105" s="60">
        <f t="shared" si="43"/>
        <v>3.295590210215475E-3</v>
      </c>
    </row>
    <row r="106" spans="1:17" x14ac:dyDescent="0.25">
      <c r="A106">
        <f t="shared" si="31"/>
        <v>52</v>
      </c>
      <c r="B106" s="60">
        <f t="shared" si="32"/>
        <v>23.683770184612928</v>
      </c>
      <c r="C106" s="62">
        <f t="shared" si="33"/>
        <v>85.261572664606547</v>
      </c>
      <c r="D106">
        <f t="shared" si="38"/>
        <v>4224.6827484513733</v>
      </c>
      <c r="E106">
        <f t="shared" si="34"/>
        <v>0</v>
      </c>
      <c r="F106">
        <f t="shared" si="35"/>
        <v>2</v>
      </c>
      <c r="G106" s="60">
        <f t="shared" si="28"/>
        <v>9.0414330770888505</v>
      </c>
      <c r="H106">
        <v>2</v>
      </c>
      <c r="I106" s="60">
        <f t="shared" si="29"/>
        <v>4.5207165385444252</v>
      </c>
      <c r="J106" s="60">
        <f t="shared" si="30"/>
        <v>1999.9999999999998</v>
      </c>
      <c r="K106" s="61">
        <f t="shared" si="39"/>
        <v>160.44742751594575</v>
      </c>
      <c r="L106">
        <f t="shared" si="40"/>
        <v>29.400000000000002</v>
      </c>
      <c r="M106" s="60">
        <f t="shared" si="41"/>
        <v>130.58242274586519</v>
      </c>
      <c r="N106">
        <f t="shared" si="42"/>
        <v>0</v>
      </c>
      <c r="O106" s="60">
        <f t="shared" si="36"/>
        <v>159.98242274586519</v>
      </c>
      <c r="P106" s="60">
        <f t="shared" si="37"/>
        <v>0.46500477008055441</v>
      </c>
      <c r="Q106" s="60">
        <f t="shared" si="43"/>
        <v>3.1000318005370295E-3</v>
      </c>
    </row>
    <row r="107" spans="1:17" x14ac:dyDescent="0.25">
      <c r="A107">
        <f t="shared" si="31"/>
        <v>52.5</v>
      </c>
      <c r="B107" s="60">
        <f t="shared" si="32"/>
        <v>23.685320200513196</v>
      </c>
      <c r="C107" s="62">
        <f t="shared" si="33"/>
        <v>85.267152721847509</v>
      </c>
      <c r="D107">
        <f t="shared" si="38"/>
        <v>4224.9592384435764</v>
      </c>
      <c r="E107">
        <f t="shared" si="34"/>
        <v>0</v>
      </c>
      <c r="F107">
        <f t="shared" si="35"/>
        <v>2</v>
      </c>
      <c r="G107" s="60">
        <f t="shared" si="28"/>
        <v>9.0408413871766147</v>
      </c>
      <c r="H107">
        <v>2</v>
      </c>
      <c r="I107" s="60">
        <f t="shared" si="29"/>
        <v>4.5204206935883073</v>
      </c>
      <c r="J107" s="60">
        <f t="shared" si="30"/>
        <v>1999.9999999999998</v>
      </c>
      <c r="K107" s="61">
        <f t="shared" si="39"/>
        <v>160.43692750742986</v>
      </c>
      <c r="L107">
        <f t="shared" si="40"/>
        <v>29.400000000000002</v>
      </c>
      <c r="M107" s="60">
        <f t="shared" si="41"/>
        <v>130.59951558651517</v>
      </c>
      <c r="N107">
        <f t="shared" si="42"/>
        <v>0</v>
      </c>
      <c r="O107" s="60">
        <f t="shared" si="36"/>
        <v>159.99951558651517</v>
      </c>
      <c r="P107" s="60">
        <f t="shared" si="37"/>
        <v>0.43741192091468406</v>
      </c>
      <c r="Q107" s="60">
        <f t="shared" si="43"/>
        <v>2.9160794727645604E-3</v>
      </c>
    </row>
    <row r="108" spans="1:17" x14ac:dyDescent="0.25">
      <c r="A108">
        <f t="shared" si="31"/>
        <v>53</v>
      </c>
      <c r="B108" s="60">
        <f t="shared" si="32"/>
        <v>23.686778240249577</v>
      </c>
      <c r="C108" s="62">
        <f t="shared" si="33"/>
        <v>85.272401664898481</v>
      </c>
      <c r="D108">
        <f t="shared" si="38"/>
        <v>4225.2193218370921</v>
      </c>
      <c r="E108">
        <f t="shared" si="34"/>
        <v>0</v>
      </c>
      <c r="F108">
        <f t="shared" si="35"/>
        <v>2</v>
      </c>
      <c r="G108" s="60">
        <f t="shared" si="28"/>
        <v>9.0402848781461707</v>
      </c>
      <c r="H108">
        <v>2</v>
      </c>
      <c r="I108" s="60">
        <f t="shared" si="29"/>
        <v>4.5201424390730853</v>
      </c>
      <c r="J108" s="60">
        <f t="shared" si="30"/>
        <v>2000</v>
      </c>
      <c r="K108" s="61">
        <f t="shared" si="39"/>
        <v>160.42705181166758</v>
      </c>
      <c r="L108">
        <f t="shared" si="40"/>
        <v>29.400000000000002</v>
      </c>
      <c r="M108" s="60">
        <f t="shared" si="41"/>
        <v>130.61559517865544</v>
      </c>
      <c r="N108">
        <f t="shared" si="42"/>
        <v>0</v>
      </c>
      <c r="O108" s="60">
        <f t="shared" si="36"/>
        <v>160.01559517865545</v>
      </c>
      <c r="P108" s="60">
        <f t="shared" si="37"/>
        <v>0.41145663301213631</v>
      </c>
      <c r="Q108" s="60">
        <f t="shared" si="43"/>
        <v>2.7430442200809088E-3</v>
      </c>
    </row>
    <row r="109" spans="1:17" x14ac:dyDescent="0.25">
      <c r="A109">
        <f t="shared" si="31"/>
        <v>53.5</v>
      </c>
      <c r="B109" s="60">
        <f t="shared" si="32"/>
        <v>23.688149762359618</v>
      </c>
      <c r="C109" s="62">
        <f t="shared" si="33"/>
        <v>85.277339144494633</v>
      </c>
      <c r="D109">
        <f t="shared" si="38"/>
        <v>4225.4639723193532</v>
      </c>
      <c r="E109">
        <f t="shared" si="34"/>
        <v>0</v>
      </c>
      <c r="F109">
        <f t="shared" si="35"/>
        <v>2</v>
      </c>
      <c r="G109" s="60">
        <f t="shared" si="28"/>
        <v>9.0397614539566131</v>
      </c>
      <c r="H109">
        <v>2</v>
      </c>
      <c r="I109" s="60">
        <f t="shared" si="29"/>
        <v>4.5198807269783066</v>
      </c>
      <c r="J109" s="60">
        <f t="shared" si="30"/>
        <v>2000</v>
      </c>
      <c r="K109" s="61">
        <f t="shared" si="39"/>
        <v>160.41776323274453</v>
      </c>
      <c r="L109">
        <f t="shared" si="40"/>
        <v>29.400000000000002</v>
      </c>
      <c r="M109" s="60">
        <f t="shared" si="41"/>
        <v>130.63072153828705</v>
      </c>
      <c r="N109">
        <f t="shared" si="42"/>
        <v>0</v>
      </c>
      <c r="O109" s="60">
        <f t="shared" si="36"/>
        <v>160.03072153828705</v>
      </c>
      <c r="P109" s="60">
        <f t="shared" si="37"/>
        <v>0.38704169445747993</v>
      </c>
      <c r="Q109" s="60">
        <f t="shared" si="43"/>
        <v>2.5802779630498662E-3</v>
      </c>
    </row>
    <row r="110" spans="1:17" x14ac:dyDescent="0.25">
      <c r="A110">
        <f t="shared" si="31"/>
        <v>54</v>
      </c>
      <c r="B110" s="60">
        <f t="shared" si="32"/>
        <v>23.689439901341142</v>
      </c>
      <c r="C110" s="62">
        <f t="shared" si="33"/>
        <v>85.281983644828117</v>
      </c>
      <c r="D110">
        <f t="shared" si="38"/>
        <v>4225.6941057759705</v>
      </c>
      <c r="E110">
        <f t="shared" si="34"/>
        <v>0</v>
      </c>
      <c r="F110">
        <f t="shared" si="35"/>
        <v>2</v>
      </c>
      <c r="G110" s="60">
        <f t="shared" si="28"/>
        <v>9.0392691439364548</v>
      </c>
      <c r="H110">
        <v>2</v>
      </c>
      <c r="I110" s="60">
        <f t="shared" si="29"/>
        <v>4.5196345719682274</v>
      </c>
      <c r="J110" s="60">
        <f t="shared" si="30"/>
        <v>2000</v>
      </c>
      <c r="K110" s="61">
        <f t="shared" si="39"/>
        <v>160.40902679952634</v>
      </c>
      <c r="L110">
        <f t="shared" si="40"/>
        <v>29.400000000000002</v>
      </c>
      <c r="M110" s="60">
        <f t="shared" si="41"/>
        <v>130.64495113216799</v>
      </c>
      <c r="N110">
        <f t="shared" si="42"/>
        <v>0</v>
      </c>
      <c r="O110" s="60">
        <f t="shared" si="36"/>
        <v>160.04495113216799</v>
      </c>
      <c r="P110" s="60">
        <f t="shared" si="37"/>
        <v>0.36407566735834962</v>
      </c>
      <c r="Q110" s="60">
        <f t="shared" si="43"/>
        <v>2.4271711157223307E-3</v>
      </c>
    </row>
    <row r="111" spans="1:17" x14ac:dyDescent="0.25">
      <c r="A111">
        <f t="shared" si="31"/>
        <v>54.5</v>
      </c>
      <c r="B111" s="60">
        <f t="shared" si="32"/>
        <v>23.690653486899002</v>
      </c>
      <c r="C111" s="62">
        <f t="shared" si="33"/>
        <v>85.286352552836405</v>
      </c>
      <c r="D111">
        <f t="shared" si="38"/>
        <v>4225.9105837239531</v>
      </c>
      <c r="E111">
        <f t="shared" si="34"/>
        <v>0</v>
      </c>
      <c r="F111">
        <f t="shared" si="35"/>
        <v>2</v>
      </c>
      <c r="G111" s="60">
        <f t="shared" si="28"/>
        <v>9.0388060952285443</v>
      </c>
      <c r="H111">
        <v>2</v>
      </c>
      <c r="I111" s="60">
        <f t="shared" si="29"/>
        <v>4.5194030476142721</v>
      </c>
      <c r="J111" s="60">
        <f t="shared" si="30"/>
        <v>2000</v>
      </c>
      <c r="K111" s="61">
        <f t="shared" si="39"/>
        <v>160.40080963158786</v>
      </c>
      <c r="L111">
        <f t="shared" si="40"/>
        <v>29.400000000000002</v>
      </c>
      <c r="M111" s="60">
        <f t="shared" si="41"/>
        <v>130.65833708706668</v>
      </c>
      <c r="N111">
        <f t="shared" si="42"/>
        <v>0</v>
      </c>
      <c r="O111" s="60">
        <f t="shared" si="36"/>
        <v>160.05833708706669</v>
      </c>
      <c r="P111" s="60">
        <f t="shared" si="37"/>
        <v>0.34247254452117204</v>
      </c>
      <c r="Q111" s="60">
        <f t="shared" si="43"/>
        <v>2.2831502968078134E-3</v>
      </c>
    </row>
    <row r="112" spans="1:17" x14ac:dyDescent="0.25">
      <c r="A112">
        <f t="shared" si="31"/>
        <v>55</v>
      </c>
      <c r="B112" s="60">
        <f t="shared" si="32"/>
        <v>23.691795062047404</v>
      </c>
      <c r="C112" s="62">
        <f t="shared" si="33"/>
        <v>85.290462223370653</v>
      </c>
      <c r="D112">
        <f t="shared" si="38"/>
        <v>4226.11421654077</v>
      </c>
      <c r="E112">
        <f t="shared" si="34"/>
        <v>0</v>
      </c>
      <c r="F112">
        <f t="shared" si="35"/>
        <v>2</v>
      </c>
      <c r="G112" s="60">
        <f t="shared" si="28"/>
        <v>9.0383705656967983</v>
      </c>
      <c r="H112">
        <v>2</v>
      </c>
      <c r="I112" s="60">
        <f t="shared" si="29"/>
        <v>4.5191852828483992</v>
      </c>
      <c r="J112" s="60">
        <f t="shared" si="30"/>
        <v>2000</v>
      </c>
      <c r="K112" s="61">
        <f t="shared" si="39"/>
        <v>160.39308081333749</v>
      </c>
      <c r="L112">
        <f t="shared" si="40"/>
        <v>29.400000000000002</v>
      </c>
      <c r="M112" s="60">
        <f t="shared" si="41"/>
        <v>130.67092938675231</v>
      </c>
      <c r="N112">
        <f t="shared" si="42"/>
        <v>0</v>
      </c>
      <c r="O112" s="60">
        <f t="shared" si="36"/>
        <v>160.07092938675231</v>
      </c>
      <c r="P112" s="60">
        <f t="shared" si="37"/>
        <v>0.32215142658517948</v>
      </c>
      <c r="Q112" s="60">
        <f t="shared" si="43"/>
        <v>2.1476761772345298E-3</v>
      </c>
    </row>
    <row r="113" spans="1:17" x14ac:dyDescent="0.25">
      <c r="A113">
        <f t="shared" si="31"/>
        <v>55.5</v>
      </c>
      <c r="B113" s="60">
        <f t="shared" si="32"/>
        <v>23.692868900136023</v>
      </c>
      <c r="C113" s="62">
        <f t="shared" si="33"/>
        <v>85.294328040489688</v>
      </c>
      <c r="D113">
        <f t="shared" si="38"/>
        <v>4226.3057665014494</v>
      </c>
      <c r="E113">
        <f t="shared" si="34"/>
        <v>0</v>
      </c>
      <c r="F113">
        <f t="shared" si="35"/>
        <v>2</v>
      </c>
      <c r="G113" s="60">
        <f t="shared" si="28"/>
        <v>9.03796091726573</v>
      </c>
      <c r="H113">
        <v>2</v>
      </c>
      <c r="I113" s="60">
        <f t="shared" si="29"/>
        <v>4.518980458632865</v>
      </c>
      <c r="J113" s="60">
        <f t="shared" si="30"/>
        <v>2000</v>
      </c>
      <c r="K113" s="61">
        <f t="shared" si="39"/>
        <v>160.38581127582165</v>
      </c>
      <c r="L113">
        <f t="shared" si="40"/>
        <v>29.400000000000002</v>
      </c>
      <c r="M113" s="60">
        <f t="shared" si="41"/>
        <v>130.68277505743234</v>
      </c>
      <c r="N113">
        <f t="shared" si="42"/>
        <v>0</v>
      </c>
      <c r="O113" s="60">
        <f t="shared" si="36"/>
        <v>160.08277505743234</v>
      </c>
      <c r="P113" s="60">
        <f t="shared" si="37"/>
        <v>0.30303621838930894</v>
      </c>
      <c r="Q113" s="60">
        <f t="shared" si="43"/>
        <v>2.0202414559287261E-3</v>
      </c>
    </row>
    <row r="114" spans="1:17" x14ac:dyDescent="0.25">
      <c r="A114">
        <f t="shared" si="31"/>
        <v>56</v>
      </c>
      <c r="B114" s="60">
        <f t="shared" si="32"/>
        <v>23.693879020863989</v>
      </c>
      <c r="C114" s="62">
        <f t="shared" si="33"/>
        <v>85.297964475110362</v>
      </c>
      <c r="D114">
        <f t="shared" si="38"/>
        <v>4226.4859506351422</v>
      </c>
      <c r="E114">
        <f t="shared" si="34"/>
        <v>0</v>
      </c>
      <c r="F114">
        <f t="shared" si="35"/>
        <v>2</v>
      </c>
      <c r="G114" s="60">
        <f t="shared" si="28"/>
        <v>9.0375756096656925</v>
      </c>
      <c r="H114">
        <v>2</v>
      </c>
      <c r="I114" s="60">
        <f t="shared" si="29"/>
        <v>4.5187878048328463</v>
      </c>
      <c r="J114" s="60">
        <f t="shared" si="30"/>
        <v>2000</v>
      </c>
      <c r="K114" s="61">
        <f t="shared" si="39"/>
        <v>160.37897368572931</v>
      </c>
      <c r="L114">
        <f t="shared" si="40"/>
        <v>29.400000000000002</v>
      </c>
      <c r="M114" s="60">
        <f t="shared" si="41"/>
        <v>130.69391834230728</v>
      </c>
      <c r="N114">
        <f t="shared" si="42"/>
        <v>0</v>
      </c>
      <c r="O114" s="60">
        <f t="shared" si="36"/>
        <v>160.09391834230729</v>
      </c>
      <c r="P114" s="60">
        <f t="shared" si="37"/>
        <v>0.28505534342201599</v>
      </c>
      <c r="Q114" s="60">
        <f t="shared" si="43"/>
        <v>1.9003689561467732E-3</v>
      </c>
    </row>
    <row r="115" spans="1:17" x14ac:dyDescent="0.25">
      <c r="A115">
        <f t="shared" si="31"/>
        <v>56.5</v>
      </c>
      <c r="B115" s="60">
        <f t="shared" si="32"/>
        <v>23.694829205342064</v>
      </c>
      <c r="C115" s="62">
        <f t="shared" si="33"/>
        <v>85.301385139231428</v>
      </c>
      <c r="D115">
        <f t="shared" si="38"/>
        <v>4226.6554434118862</v>
      </c>
      <c r="E115">
        <f t="shared" si="34"/>
        <v>0</v>
      </c>
      <c r="F115">
        <f t="shared" si="35"/>
        <v>2</v>
      </c>
      <c r="G115" s="60">
        <f t="shared" si="28"/>
        <v>9.0372131945586123</v>
      </c>
      <c r="H115">
        <v>2</v>
      </c>
      <c r="I115" s="60">
        <f t="shared" si="29"/>
        <v>4.5186065972793061</v>
      </c>
      <c r="J115" s="60">
        <f t="shared" si="30"/>
        <v>2000</v>
      </c>
      <c r="K115" s="61">
        <f t="shared" si="39"/>
        <v>160.37254234114843</v>
      </c>
      <c r="L115">
        <f t="shared" si="40"/>
        <v>29.400000000000002</v>
      </c>
      <c r="M115" s="60">
        <f t="shared" si="41"/>
        <v>130.70440086587473</v>
      </c>
      <c r="N115">
        <f t="shared" si="42"/>
        <v>0</v>
      </c>
      <c r="O115" s="60">
        <f t="shared" si="36"/>
        <v>160.10440086587474</v>
      </c>
      <c r="P115" s="60">
        <f t="shared" si="37"/>
        <v>0.26814147527369414</v>
      </c>
      <c r="Q115" s="60">
        <f t="shared" si="43"/>
        <v>1.7876098351579609E-3</v>
      </c>
    </row>
    <row r="116" spans="1:17" x14ac:dyDescent="0.25">
      <c r="A116">
        <f t="shared" si="31"/>
        <v>57</v>
      </c>
      <c r="B116" s="60">
        <f t="shared" si="32"/>
        <v>23.695723010259641</v>
      </c>
      <c r="C116" s="62">
        <f t="shared" si="33"/>
        <v>85.304602836934706</v>
      </c>
      <c r="D116">
        <f t="shared" si="38"/>
        <v>4226.8148792697057</v>
      </c>
      <c r="E116">
        <f t="shared" si="34"/>
        <v>0</v>
      </c>
      <c r="F116">
        <f t="shared" si="35"/>
        <v>2</v>
      </c>
      <c r="G116" s="60">
        <f t="shared" si="28"/>
        <v>9.0368723100204615</v>
      </c>
      <c r="H116">
        <v>2</v>
      </c>
      <c r="I116" s="60">
        <f t="shared" si="29"/>
        <v>4.5184361550102308</v>
      </c>
      <c r="J116" s="60">
        <f t="shared" si="30"/>
        <v>2000</v>
      </c>
      <c r="K116" s="61">
        <f t="shared" si="39"/>
        <v>160.36649307365289</v>
      </c>
      <c r="L116">
        <f t="shared" si="40"/>
        <v>29.400000000000002</v>
      </c>
      <c r="M116" s="60">
        <f t="shared" si="41"/>
        <v>130.71426178857851</v>
      </c>
      <c r="N116">
        <f t="shared" si="42"/>
        <v>0</v>
      </c>
      <c r="O116" s="60">
        <f t="shared" si="36"/>
        <v>160.11426178857852</v>
      </c>
      <c r="P116" s="60">
        <f t="shared" si="37"/>
        <v>0.25223128507437309</v>
      </c>
      <c r="Q116" s="60">
        <f t="shared" si="43"/>
        <v>1.6815419004958206E-3</v>
      </c>
    </row>
    <row r="117" spans="1:17" x14ac:dyDescent="0.25">
      <c r="A117">
        <f t="shared" si="31"/>
        <v>57.5</v>
      </c>
      <c r="B117" s="60">
        <f t="shared" si="32"/>
        <v>23.696563781209889</v>
      </c>
      <c r="C117" s="62">
        <f t="shared" si="33"/>
        <v>85.307629612355598</v>
      </c>
      <c r="D117">
        <f t="shared" si="38"/>
        <v>4226.9648549915282</v>
      </c>
      <c r="E117">
        <f t="shared" si="34"/>
        <v>0</v>
      </c>
      <c r="F117">
        <f t="shared" si="35"/>
        <v>2</v>
      </c>
      <c r="G117" s="60">
        <f t="shared" si="28"/>
        <v>9.0365516753584263</v>
      </c>
      <c r="H117">
        <v>2</v>
      </c>
      <c r="I117" s="60">
        <f t="shared" si="29"/>
        <v>4.5182758376792131</v>
      </c>
      <c r="J117" s="60">
        <f t="shared" si="30"/>
        <v>1999.9999999999998</v>
      </c>
      <c r="K117" s="61">
        <f t="shared" si="39"/>
        <v>160.36080315632924</v>
      </c>
      <c r="L117">
        <f t="shared" si="40"/>
        <v>29.400000000000002</v>
      </c>
      <c r="M117" s="60">
        <f t="shared" si="41"/>
        <v>130.72353795236509</v>
      </c>
      <c r="N117">
        <f t="shared" si="42"/>
        <v>0</v>
      </c>
      <c r="O117" s="60">
        <f t="shared" si="36"/>
        <v>160.1235379523651</v>
      </c>
      <c r="P117" s="60">
        <f t="shared" si="37"/>
        <v>0.2372652039641423</v>
      </c>
      <c r="Q117" s="60">
        <f t="shared" si="43"/>
        <v>1.5817680264276154E-3</v>
      </c>
    </row>
    <row r="118" spans="1:17" x14ac:dyDescent="0.25">
      <c r="A118">
        <f t="shared" si="31"/>
        <v>58</v>
      </c>
      <c r="B118" s="60">
        <f t="shared" si="32"/>
        <v>23.697354665223102</v>
      </c>
      <c r="C118" s="62">
        <f t="shared" si="33"/>
        <v>85.310476794803165</v>
      </c>
      <c r="D118">
        <f t="shared" si="38"/>
        <v>4227.1059319408732</v>
      </c>
      <c r="E118">
        <f t="shared" si="34"/>
        <v>0</v>
      </c>
      <c r="F118">
        <f t="shared" si="35"/>
        <v>2</v>
      </c>
      <c r="G118" s="60">
        <f t="shared" si="28"/>
        <v>9.0362500862420223</v>
      </c>
      <c r="H118">
        <v>2</v>
      </c>
      <c r="I118" s="60">
        <f t="shared" si="29"/>
        <v>4.5181250431210112</v>
      </c>
      <c r="J118" s="60">
        <f t="shared" si="30"/>
        <v>2000</v>
      </c>
      <c r="K118" s="61">
        <f t="shared" si="39"/>
        <v>160.35545121737428</v>
      </c>
      <c r="L118">
        <f t="shared" si="40"/>
        <v>29.400000000000002</v>
      </c>
      <c r="M118" s="60">
        <f t="shared" si="41"/>
        <v>130.73226401767732</v>
      </c>
      <c r="N118">
        <f t="shared" si="42"/>
        <v>0</v>
      </c>
      <c r="O118" s="60">
        <f t="shared" si="36"/>
        <v>160.13226401767733</v>
      </c>
      <c r="P118" s="60">
        <f t="shared" si="37"/>
        <v>0.22318719969695167</v>
      </c>
      <c r="Q118" s="60">
        <f t="shared" si="43"/>
        <v>1.4879146646463444E-3</v>
      </c>
    </row>
    <row r="119" spans="1:17" x14ac:dyDescent="0.25">
      <c r="A119">
        <f t="shared" si="31"/>
        <v>58.5</v>
      </c>
      <c r="B119" s="60">
        <f t="shared" si="32"/>
        <v>23.698098622555424</v>
      </c>
      <c r="C119" s="62">
        <f t="shared" si="33"/>
        <v>85.313155041199522</v>
      </c>
      <c r="D119">
        <f t="shared" si="38"/>
        <v>4227.2386381647111</v>
      </c>
      <c r="E119">
        <f t="shared" si="34"/>
        <v>0</v>
      </c>
      <c r="F119">
        <f t="shared" si="35"/>
        <v>2</v>
      </c>
      <c r="G119" s="60">
        <f t="shared" si="28"/>
        <v>9.0359664101287862</v>
      </c>
      <c r="H119">
        <v>2</v>
      </c>
      <c r="I119" s="60">
        <f t="shared" si="29"/>
        <v>4.5179832050643931</v>
      </c>
      <c r="J119" s="60">
        <f t="shared" si="30"/>
        <v>2000</v>
      </c>
      <c r="K119" s="61">
        <f t="shared" si="39"/>
        <v>160.35041715892046</v>
      </c>
      <c r="L119">
        <f t="shared" si="40"/>
        <v>29.400000000000002</v>
      </c>
      <c r="M119" s="60">
        <f t="shared" si="41"/>
        <v>130.74047259238486</v>
      </c>
      <c r="N119">
        <f t="shared" si="42"/>
        <v>0</v>
      </c>
      <c r="O119" s="60">
        <f t="shared" si="36"/>
        <v>160.14047259238487</v>
      </c>
      <c r="P119" s="60">
        <f t="shared" si="37"/>
        <v>0.20994456653559723</v>
      </c>
      <c r="Q119" s="60">
        <f t="shared" si="43"/>
        <v>1.3996304435706481E-3</v>
      </c>
    </row>
    <row r="120" spans="1:17" x14ac:dyDescent="0.25">
      <c r="A120">
        <f t="shared" si="31"/>
        <v>59</v>
      </c>
      <c r="B120" s="60">
        <f t="shared" si="32"/>
        <v>23.69879843777721</v>
      </c>
      <c r="C120" s="62">
        <f t="shared" si="33"/>
        <v>85.315674375997958</v>
      </c>
      <c r="D120">
        <f t="shared" si="38"/>
        <v>4227.3634703713888</v>
      </c>
      <c r="E120">
        <f t="shared" si="34"/>
        <v>0</v>
      </c>
      <c r="F120">
        <f t="shared" si="35"/>
        <v>2</v>
      </c>
      <c r="G120" s="60">
        <f t="shared" si="28"/>
        <v>9.0356995819664228</v>
      </c>
      <c r="H120">
        <v>2</v>
      </c>
      <c r="I120" s="60">
        <f t="shared" si="29"/>
        <v>4.5178497909832114</v>
      </c>
      <c r="J120" s="60">
        <f t="shared" si="30"/>
        <v>2000</v>
      </c>
      <c r="K120" s="61">
        <f t="shared" si="39"/>
        <v>160.34568208076692</v>
      </c>
      <c r="L120">
        <f t="shared" si="40"/>
        <v>29.400000000000002</v>
      </c>
      <c r="M120" s="60">
        <f t="shared" si="41"/>
        <v>130.74819435312295</v>
      </c>
      <c r="N120">
        <f t="shared" si="42"/>
        <v>0</v>
      </c>
      <c r="O120" s="60">
        <f t="shared" si="36"/>
        <v>160.14819435312296</v>
      </c>
      <c r="P120" s="60">
        <f t="shared" si="37"/>
        <v>0.19748772764395994</v>
      </c>
      <c r="Q120" s="60">
        <f t="shared" si="43"/>
        <v>1.316584850959733E-3</v>
      </c>
    </row>
    <row r="121" spans="1:17" x14ac:dyDescent="0.25">
      <c r="A121">
        <f t="shared" si="31"/>
        <v>59.5</v>
      </c>
      <c r="B121" s="60">
        <f t="shared" si="32"/>
        <v>23.699456730202691</v>
      </c>
      <c r="C121" s="62">
        <f t="shared" si="33"/>
        <v>85.31804422872969</v>
      </c>
      <c r="D121">
        <f t="shared" si="38"/>
        <v>4227.4808957910618</v>
      </c>
      <c r="E121">
        <f t="shared" si="34"/>
        <v>0</v>
      </c>
      <c r="F121">
        <f t="shared" si="35"/>
        <v>2</v>
      </c>
      <c r="G121" s="60">
        <f t="shared" si="28"/>
        <v>9.0354486001544156</v>
      </c>
      <c r="H121">
        <v>2</v>
      </c>
      <c r="I121" s="60">
        <f t="shared" si="29"/>
        <v>4.5177243000772078</v>
      </c>
      <c r="J121" s="60">
        <f t="shared" si="30"/>
        <v>2000</v>
      </c>
      <c r="K121" s="61">
        <f t="shared" si="39"/>
        <v>160.34122820871519</v>
      </c>
      <c r="L121">
        <f t="shared" si="40"/>
        <v>29.400000000000002</v>
      </c>
      <c r="M121" s="60">
        <f t="shared" si="41"/>
        <v>130.75545815948212</v>
      </c>
      <c r="N121">
        <f t="shared" si="42"/>
        <v>0</v>
      </c>
      <c r="O121" s="60">
        <f t="shared" si="36"/>
        <v>160.15545815948212</v>
      </c>
      <c r="P121" s="60">
        <f t="shared" si="37"/>
        <v>0.18577004923307072</v>
      </c>
      <c r="Q121" s="60">
        <f t="shared" si="43"/>
        <v>1.2384669948871381E-3</v>
      </c>
    </row>
    <row r="122" spans="1:17" x14ac:dyDescent="0.25">
      <c r="A122">
        <f t="shared" si="31"/>
        <v>60</v>
      </c>
      <c r="B122" s="60">
        <f t="shared" si="32"/>
        <v>23.700075963700133</v>
      </c>
      <c r="C122" s="62">
        <f t="shared" si="33"/>
        <v>85.320273469320483</v>
      </c>
      <c r="D122">
        <f t="shared" si="38"/>
        <v>4227.5913539256208</v>
      </c>
      <c r="E122">
        <f t="shared" si="34"/>
        <v>0</v>
      </c>
      <c r="F122">
        <f t="shared" si="35"/>
        <v>2</v>
      </c>
      <c r="G122" s="60">
        <f t="shared" si="28"/>
        <v>9.0352125227491698</v>
      </c>
      <c r="H122">
        <v>2</v>
      </c>
      <c r="I122" s="60">
        <f t="shared" si="29"/>
        <v>4.5176062613745849</v>
      </c>
      <c r="J122" s="60">
        <f t="shared" si="30"/>
        <v>2000.0000000000002</v>
      </c>
      <c r="K122" s="61">
        <f t="shared" si="39"/>
        <v>160.33703882722625</v>
      </c>
      <c r="L122">
        <f t="shared" si="40"/>
        <v>29.400000000000002</v>
      </c>
      <c r="M122" s="60">
        <f t="shared" si="41"/>
        <v>130.7622911614686</v>
      </c>
      <c r="N122">
        <f t="shared" si="42"/>
        <v>0</v>
      </c>
      <c r="O122" s="60">
        <f t="shared" si="36"/>
        <v>160.1622911614686</v>
      </c>
      <c r="P122" s="60">
        <f t="shared" si="37"/>
        <v>0.17474766575764988</v>
      </c>
      <c r="Q122" s="60">
        <f t="shared" si="43"/>
        <v>1.1649844383843325E-3</v>
      </c>
    </row>
    <row r="123" spans="1:17" x14ac:dyDescent="0.25">
      <c r="A123">
        <f t="shared" si="31"/>
        <v>60.5</v>
      </c>
      <c r="B123" s="60">
        <f t="shared" ref="B123:B153" si="44">B122+(Q122*(A123-A122))</f>
        <v>23.700658455919324</v>
      </c>
      <c r="C123" s="62">
        <f t="shared" si="33"/>
        <v>85.322370441309573</v>
      </c>
      <c r="D123">
        <f t="shared" si="38"/>
        <v>4227.6952581946762</v>
      </c>
      <c r="E123">
        <f t="shared" ref="E123:E153" si="45">E122</f>
        <v>0</v>
      </c>
      <c r="F123">
        <f t="shared" ref="F123:F153" si="46">F122</f>
        <v>2</v>
      </c>
      <c r="G123" s="60">
        <f t="shared" si="28"/>
        <v>9.0349904638978078</v>
      </c>
      <c r="H123">
        <v>2</v>
      </c>
      <c r="I123" s="60">
        <f t="shared" si="29"/>
        <v>4.5174952319489039</v>
      </c>
      <c r="J123" s="60">
        <f t="shared" si="30"/>
        <v>2000</v>
      </c>
      <c r="K123" s="61">
        <f t="shared" si="39"/>
        <v>160.33309821613568</v>
      </c>
      <c r="L123">
        <f t="shared" si="40"/>
        <v>29.400000000000002</v>
      </c>
      <c r="M123" s="60">
        <f t="shared" si="41"/>
        <v>130.76871890062836</v>
      </c>
      <c r="N123">
        <f t="shared" si="42"/>
        <v>0</v>
      </c>
      <c r="O123" s="60">
        <f t="shared" ref="O123:O153" si="47">L123+M123+N123</f>
        <v>160.16871890062836</v>
      </c>
      <c r="P123" s="60">
        <f t="shared" ref="P123:P153" si="48">K123-O123</f>
        <v>0.16437931550731832</v>
      </c>
      <c r="Q123" s="60">
        <f t="shared" si="43"/>
        <v>1.0958621033821221E-3</v>
      </c>
    </row>
    <row r="124" spans="1:17" x14ac:dyDescent="0.25">
      <c r="A124">
        <f t="shared" si="31"/>
        <v>61</v>
      </c>
      <c r="B124" s="60">
        <f t="shared" si="44"/>
        <v>23.701206386971016</v>
      </c>
      <c r="C124" s="62">
        <f t="shared" si="33"/>
        <v>85.324342993095655</v>
      </c>
      <c r="D124">
        <f t="shared" si="38"/>
        <v>4227.7929974837916</v>
      </c>
      <c r="E124">
        <f t="shared" si="45"/>
        <v>0</v>
      </c>
      <c r="F124">
        <f t="shared" si="46"/>
        <v>2</v>
      </c>
      <c r="G124" s="60">
        <f t="shared" si="28"/>
        <v>9.034781590486638</v>
      </c>
      <c r="H124">
        <v>2</v>
      </c>
      <c r="I124" s="60">
        <f t="shared" si="29"/>
        <v>4.517390795243319</v>
      </c>
      <c r="J124" s="60">
        <f t="shared" si="30"/>
        <v>2000</v>
      </c>
      <c r="K124" s="61">
        <f t="shared" si="39"/>
        <v>160.3293915911778</v>
      </c>
      <c r="L124">
        <f t="shared" si="40"/>
        <v>29.400000000000002</v>
      </c>
      <c r="M124" s="60">
        <f t="shared" si="41"/>
        <v>130.77476540520678</v>
      </c>
      <c r="N124">
        <f t="shared" si="42"/>
        <v>0</v>
      </c>
      <c r="O124" s="60">
        <f t="shared" si="47"/>
        <v>160.17476540520678</v>
      </c>
      <c r="P124" s="60">
        <f t="shared" si="48"/>
        <v>0.15462618597101141</v>
      </c>
      <c r="Q124" s="60">
        <f t="shared" si="43"/>
        <v>1.0308412398067428E-3</v>
      </c>
    </row>
    <row r="125" spans="1:17" x14ac:dyDescent="0.25">
      <c r="A125">
        <f t="shared" si="31"/>
        <v>61.5</v>
      </c>
      <c r="B125" s="60">
        <f t="shared" si="44"/>
        <v>23.701721807590918</v>
      </c>
      <c r="C125" s="62">
        <f t="shared" si="33"/>
        <v>85.326198507327305</v>
      </c>
      <c r="D125">
        <f t="shared" si="38"/>
        <v>4227.8849376007638</v>
      </c>
      <c r="E125">
        <f t="shared" si="45"/>
        <v>0</v>
      </c>
      <c r="F125">
        <f t="shared" si="46"/>
        <v>2</v>
      </c>
      <c r="G125" s="60">
        <f t="shared" si="28"/>
        <v>9.0345851189911954</v>
      </c>
      <c r="H125">
        <v>2</v>
      </c>
      <c r="I125" s="60">
        <f t="shared" si="29"/>
        <v>4.5172925594955977</v>
      </c>
      <c r="J125" s="60">
        <f t="shared" si="30"/>
        <v>2000</v>
      </c>
      <c r="K125" s="61">
        <f t="shared" si="39"/>
        <v>160.32590504808721</v>
      </c>
      <c r="L125">
        <f t="shared" si="40"/>
        <v>29.400000000000002</v>
      </c>
      <c r="M125" s="60">
        <f t="shared" si="41"/>
        <v>130.78045327969352</v>
      </c>
      <c r="N125">
        <f t="shared" si="42"/>
        <v>0</v>
      </c>
      <c r="O125" s="60">
        <f t="shared" si="47"/>
        <v>160.18045327969352</v>
      </c>
      <c r="P125" s="60">
        <f t="shared" si="48"/>
        <v>0.14545176839368423</v>
      </c>
      <c r="Q125" s="60">
        <f t="shared" si="43"/>
        <v>9.6967845595789489E-4</v>
      </c>
    </row>
    <row r="126" spans="1:17" x14ac:dyDescent="0.25">
      <c r="A126">
        <f t="shared" si="31"/>
        <v>62</v>
      </c>
      <c r="B126" s="60">
        <f t="shared" si="44"/>
        <v>23.702206646818897</v>
      </c>
      <c r="C126" s="62">
        <f t="shared" si="33"/>
        <v>85.327943928548038</v>
      </c>
      <c r="D126">
        <f t="shared" si="38"/>
        <v>4227.9714226454271</v>
      </c>
      <c r="E126">
        <f t="shared" si="45"/>
        <v>0</v>
      </c>
      <c r="F126">
        <f t="shared" si="46"/>
        <v>2</v>
      </c>
      <c r="G126" s="60">
        <f t="shared" si="28"/>
        <v>9.0344003125156025</v>
      </c>
      <c r="H126">
        <v>2</v>
      </c>
      <c r="I126" s="60">
        <f t="shared" si="29"/>
        <v>4.5172001562578012</v>
      </c>
      <c r="J126" s="60">
        <f t="shared" si="30"/>
        <v>2000</v>
      </c>
      <c r="K126" s="61">
        <f t="shared" si="39"/>
        <v>160.32262551005994</v>
      </c>
      <c r="L126">
        <f t="shared" si="40"/>
        <v>29.400000000000002</v>
      </c>
      <c r="M126" s="60">
        <f t="shared" si="41"/>
        <v>130.78580378908228</v>
      </c>
      <c r="N126">
        <f t="shared" si="42"/>
        <v>0</v>
      </c>
      <c r="O126" s="60">
        <f t="shared" si="47"/>
        <v>160.18580378908229</v>
      </c>
      <c r="P126" s="60">
        <f t="shared" si="48"/>
        <v>0.13682172097765033</v>
      </c>
      <c r="Q126" s="60">
        <f t="shared" si="43"/>
        <v>9.1214480651766888E-4</v>
      </c>
    </row>
    <row r="127" spans="1:17" x14ac:dyDescent="0.25">
      <c r="A127">
        <f t="shared" si="31"/>
        <v>62.5</v>
      </c>
      <c r="B127" s="60">
        <f t="shared" si="44"/>
        <v>23.702662719222158</v>
      </c>
      <c r="C127" s="62">
        <f t="shared" si="33"/>
        <v>85.329585789199768</v>
      </c>
      <c r="D127">
        <f t="shared" si="38"/>
        <v>4228.0527762981219</v>
      </c>
      <c r="E127">
        <f t="shared" si="45"/>
        <v>0</v>
      </c>
      <c r="F127">
        <f t="shared" si="46"/>
        <v>2</v>
      </c>
      <c r="G127" s="60">
        <f t="shared" si="28"/>
        <v>9.0342264780096926</v>
      </c>
      <c r="H127">
        <v>2</v>
      </c>
      <c r="I127" s="60">
        <f t="shared" si="29"/>
        <v>4.5171132390048463</v>
      </c>
      <c r="J127" s="60">
        <f t="shared" si="30"/>
        <v>2000</v>
      </c>
      <c r="K127" s="61">
        <f t="shared" si="39"/>
        <v>160.31954067836912</v>
      </c>
      <c r="L127">
        <f t="shared" si="40"/>
        <v>29.400000000000002</v>
      </c>
      <c r="M127" s="60">
        <f t="shared" si="41"/>
        <v>130.79083693815565</v>
      </c>
      <c r="N127">
        <f t="shared" si="42"/>
        <v>0</v>
      </c>
      <c r="O127" s="60">
        <f t="shared" si="47"/>
        <v>160.19083693815566</v>
      </c>
      <c r="P127" s="60">
        <f t="shared" si="48"/>
        <v>0.1287037402134672</v>
      </c>
      <c r="Q127" s="60">
        <f t="shared" si="43"/>
        <v>8.5802493475644801E-4</v>
      </c>
    </row>
    <row r="128" spans="1:17" x14ac:dyDescent="0.25">
      <c r="A128">
        <f t="shared" si="31"/>
        <v>63</v>
      </c>
      <c r="B128" s="60">
        <f t="shared" si="44"/>
        <v>23.703091731689536</v>
      </c>
      <c r="C128" s="62">
        <f t="shared" si="33"/>
        <v>85.331130234082337</v>
      </c>
      <c r="D128">
        <f t="shared" si="38"/>
        <v>4228.1293030316483</v>
      </c>
      <c r="E128">
        <f t="shared" si="45"/>
        <v>0</v>
      </c>
      <c r="F128">
        <f t="shared" si="46"/>
        <v>2</v>
      </c>
      <c r="G128" s="60">
        <f t="shared" si="28"/>
        <v>9.0340629636531649</v>
      </c>
      <c r="H128">
        <v>2</v>
      </c>
      <c r="I128" s="60">
        <f t="shared" si="29"/>
        <v>4.5170314818265824</v>
      </c>
      <c r="J128" s="60">
        <f t="shared" si="30"/>
        <v>2000</v>
      </c>
      <c r="K128" s="61">
        <f t="shared" si="39"/>
        <v>160.31663898594456</v>
      </c>
      <c r="L128">
        <f t="shared" si="40"/>
        <v>29.400000000000002</v>
      </c>
      <c r="M128" s="60">
        <f t="shared" si="41"/>
        <v>130.79557154608787</v>
      </c>
      <c r="N128">
        <f t="shared" si="42"/>
        <v>0</v>
      </c>
      <c r="O128" s="60">
        <f t="shared" si="47"/>
        <v>160.19557154608788</v>
      </c>
      <c r="P128" s="60">
        <f t="shared" si="48"/>
        <v>0.121067439856688</v>
      </c>
      <c r="Q128" s="60">
        <f t="shared" si="43"/>
        <v>8.0711626571125332E-4</v>
      </c>
    </row>
    <row r="129" spans="1:17" x14ac:dyDescent="0.25">
      <c r="A129">
        <f t="shared" si="31"/>
        <v>63.5</v>
      </c>
      <c r="B129" s="60">
        <f t="shared" si="44"/>
        <v>23.703495289822392</v>
      </c>
      <c r="C129" s="62">
        <f t="shared" si="33"/>
        <v>85.332583043360614</v>
      </c>
      <c r="D129">
        <f t="shared" si="38"/>
        <v>4228.2012892512648</v>
      </c>
      <c r="E129">
        <f t="shared" si="45"/>
        <v>0</v>
      </c>
      <c r="F129">
        <f t="shared" si="46"/>
        <v>2</v>
      </c>
      <c r="G129" s="60">
        <f t="shared" si="28"/>
        <v>9.033909156396593</v>
      </c>
      <c r="H129">
        <v>2</v>
      </c>
      <c r="I129" s="60">
        <f t="shared" si="29"/>
        <v>4.5169545781982965</v>
      </c>
      <c r="J129" s="60">
        <f t="shared" si="30"/>
        <v>1999.9999999999998</v>
      </c>
      <c r="K129" s="61">
        <f t="shared" si="39"/>
        <v>160.31390955373624</v>
      </c>
      <c r="L129">
        <f t="shared" si="40"/>
        <v>29.400000000000002</v>
      </c>
      <c r="M129" s="60">
        <f t="shared" si="41"/>
        <v>130.80002531663993</v>
      </c>
      <c r="N129">
        <f t="shared" si="42"/>
        <v>0</v>
      </c>
      <c r="O129" s="60">
        <f t="shared" si="47"/>
        <v>160.20002531663994</v>
      </c>
      <c r="P129" s="60">
        <f t="shared" si="48"/>
        <v>0.11388423709630047</v>
      </c>
      <c r="Q129" s="60">
        <f t="shared" si="43"/>
        <v>7.5922824730866977E-4</v>
      </c>
    </row>
    <row r="130" spans="1:17" x14ac:dyDescent="0.25">
      <c r="A130">
        <f t="shared" si="31"/>
        <v>64</v>
      </c>
      <c r="B130" s="60">
        <f t="shared" si="44"/>
        <v>23.703874903946048</v>
      </c>
      <c r="C130" s="62">
        <f t="shared" si="33"/>
        <v>85.333949654205767</v>
      </c>
      <c r="D130">
        <f t="shared" ref="D130:D161" si="49">(C130*GearRatio)/(2*PI()*WheelRadius*0.001*60)</f>
        <v>4228.2690043670073</v>
      </c>
      <c r="E130">
        <f t="shared" si="45"/>
        <v>0</v>
      </c>
      <c r="F130">
        <f t="shared" si="46"/>
        <v>2</v>
      </c>
      <c r="G130" s="60">
        <f t="shared" si="28"/>
        <v>9.0337644796497969</v>
      </c>
      <c r="H130">
        <v>2</v>
      </c>
      <c r="I130" s="60">
        <f t="shared" si="29"/>
        <v>4.5168822398248984</v>
      </c>
      <c r="J130" s="60">
        <f t="shared" si="30"/>
        <v>2000</v>
      </c>
      <c r="K130" s="61">
        <f t="shared" ref="K130:K161" si="50">(G130*GearRatio*GearEfficency)/WheelRadius</f>
        <v>160.31134214969231</v>
      </c>
      <c r="L130">
        <f t="shared" ref="L130:L161" si="51">Froll</f>
        <v>29.400000000000002</v>
      </c>
      <c r="M130" s="60">
        <f t="shared" ref="M130:M161" si="52">Cd*Density*Area*C130*C130*0.03858025308642</f>
        <v>130.80421490420758</v>
      </c>
      <c r="N130">
        <f t="shared" ref="N130:N161" si="53">(KerbWeight+LoadWeight)*9.8*SIN(E130*0.01745329)</f>
        <v>0</v>
      </c>
      <c r="O130" s="60">
        <f t="shared" si="47"/>
        <v>160.20421490420759</v>
      </c>
      <c r="P130" s="60">
        <f t="shared" si="48"/>
        <v>0.10712724548471897</v>
      </c>
      <c r="Q130" s="60">
        <f t="shared" ref="Q130:Q161" si="54">P130/(KerbWeight+LoadWeight)</f>
        <v>7.141816365647931E-4</v>
      </c>
    </row>
    <row r="131" spans="1:17" x14ac:dyDescent="0.25">
      <c r="A131">
        <f t="shared" si="31"/>
        <v>64.5</v>
      </c>
      <c r="B131" s="60">
        <f t="shared" si="44"/>
        <v>23.704231994764331</v>
      </c>
      <c r="C131" s="62">
        <f t="shared" si="33"/>
        <v>85.335235181151589</v>
      </c>
      <c r="D131">
        <f t="shared" si="49"/>
        <v>4228.3327018023347</v>
      </c>
      <c r="E131">
        <f t="shared" si="45"/>
        <v>0</v>
      </c>
      <c r="F131">
        <f t="shared" si="46"/>
        <v>2</v>
      </c>
      <c r="G131" s="60">
        <f t="shared" ref="G131:G182" si="55">(IF((F131=2),(IF((D131&lt;500),(37),((2000*60)/(2*PI()*D131)))),(IF((D131&lt;500),(19),((1000*60)/(2*PI()*D131))))))*2</f>
        <v>9.0336283911086888</v>
      </c>
      <c r="H131">
        <v>2</v>
      </c>
      <c r="I131" s="60">
        <f t="shared" ref="I131:I182" si="56">G131/H131</f>
        <v>4.5168141955543444</v>
      </c>
      <c r="J131" s="60">
        <f t="shared" ref="J131:J182" si="57">(2*PI()*D131*I131)/60</f>
        <v>2000</v>
      </c>
      <c r="K131" s="61">
        <f t="shared" si="50"/>
        <v>160.30892715019513</v>
      </c>
      <c r="L131">
        <f t="shared" si="51"/>
        <v>29.400000000000002</v>
      </c>
      <c r="M131" s="60">
        <f t="shared" si="52"/>
        <v>130.80815597596501</v>
      </c>
      <c r="N131">
        <f t="shared" si="53"/>
        <v>0</v>
      </c>
      <c r="O131" s="60">
        <f t="shared" si="47"/>
        <v>160.20815597596501</v>
      </c>
      <c r="P131" s="60">
        <f t="shared" si="48"/>
        <v>0.10077117423011828</v>
      </c>
      <c r="Q131" s="60">
        <f t="shared" si="54"/>
        <v>6.7180782820078851E-4</v>
      </c>
    </row>
    <row r="132" spans="1:17" x14ac:dyDescent="0.25">
      <c r="A132">
        <f t="shared" ref="A132:A182" si="58">A131+0.5</f>
        <v>65</v>
      </c>
      <c r="B132" s="60">
        <f t="shared" si="44"/>
        <v>23.70456789867843</v>
      </c>
      <c r="C132" s="62">
        <f t="shared" ref="C132:C182" si="59">B132*3.6</f>
        <v>85.336444435242356</v>
      </c>
      <c r="D132">
        <f t="shared" si="49"/>
        <v>4228.3926199428997</v>
      </c>
      <c r="E132">
        <f t="shared" si="45"/>
        <v>0</v>
      </c>
      <c r="F132">
        <f t="shared" si="46"/>
        <v>2</v>
      </c>
      <c r="G132" s="60">
        <f t="shared" si="55"/>
        <v>9.0335003807122103</v>
      </c>
      <c r="H132">
        <v>2</v>
      </c>
      <c r="I132" s="60">
        <f t="shared" si="56"/>
        <v>4.5167501903561051</v>
      </c>
      <c r="J132" s="60">
        <f t="shared" si="57"/>
        <v>2000.0000000000002</v>
      </c>
      <c r="K132" s="61">
        <f t="shared" si="50"/>
        <v>160.30665550380508</v>
      </c>
      <c r="L132">
        <f t="shared" si="51"/>
        <v>29.400000000000002</v>
      </c>
      <c r="M132" s="60">
        <f t="shared" si="52"/>
        <v>130.81186327033507</v>
      </c>
      <c r="N132">
        <f t="shared" si="53"/>
        <v>0</v>
      </c>
      <c r="O132" s="60">
        <f t="shared" si="47"/>
        <v>160.21186327033507</v>
      </c>
      <c r="P132" s="60">
        <f t="shared" si="48"/>
        <v>9.4792233470002429E-2</v>
      </c>
      <c r="Q132" s="60">
        <f t="shared" si="54"/>
        <v>6.3194822313334949E-4</v>
      </c>
    </row>
    <row r="133" spans="1:17" x14ac:dyDescent="0.25">
      <c r="A133">
        <f t="shared" si="58"/>
        <v>65.5</v>
      </c>
      <c r="B133" s="60">
        <f t="shared" si="44"/>
        <v>23.704883872789996</v>
      </c>
      <c r="C133" s="62">
        <f t="shared" si="59"/>
        <v>85.337581942043983</v>
      </c>
      <c r="D133">
        <f t="shared" si="49"/>
        <v>4228.4489830289995</v>
      </c>
      <c r="E133">
        <f t="shared" si="45"/>
        <v>0</v>
      </c>
      <c r="F133">
        <f t="shared" si="46"/>
        <v>2</v>
      </c>
      <c r="G133" s="60">
        <f t="shared" si="55"/>
        <v>9.0333799687214817</v>
      </c>
      <c r="H133">
        <v>2</v>
      </c>
      <c r="I133" s="60">
        <f t="shared" si="56"/>
        <v>4.5166899843607409</v>
      </c>
      <c r="J133" s="60">
        <f t="shared" si="57"/>
        <v>2000</v>
      </c>
      <c r="K133" s="61">
        <f t="shared" si="50"/>
        <v>160.3045186971739</v>
      </c>
      <c r="L133">
        <f t="shared" si="51"/>
        <v>29.400000000000002</v>
      </c>
      <c r="M133" s="60">
        <f t="shared" si="52"/>
        <v>130.81535065200208</v>
      </c>
      <c r="N133">
        <f t="shared" si="53"/>
        <v>0</v>
      </c>
      <c r="O133" s="60">
        <f t="shared" si="47"/>
        <v>160.21535065200209</v>
      </c>
      <c r="P133" s="60">
        <f t="shared" si="48"/>
        <v>8.9168045171817312E-2</v>
      </c>
      <c r="Q133" s="60">
        <f t="shared" si="54"/>
        <v>5.9445363447878212E-4</v>
      </c>
    </row>
    <row r="134" spans="1:17" x14ac:dyDescent="0.25">
      <c r="A134">
        <f t="shared" si="58"/>
        <v>66</v>
      </c>
      <c r="B134" s="60">
        <f t="shared" si="44"/>
        <v>23.705181099607234</v>
      </c>
      <c r="C134" s="62">
        <f t="shared" si="59"/>
        <v>85.338651958586041</v>
      </c>
      <c r="D134">
        <f t="shared" si="49"/>
        <v>4228.5020019950416</v>
      </c>
      <c r="E134">
        <f t="shared" si="45"/>
        <v>0</v>
      </c>
      <c r="F134">
        <f t="shared" si="46"/>
        <v>2</v>
      </c>
      <c r="G134" s="60">
        <f t="shared" si="55"/>
        <v>9.0332667039138528</v>
      </c>
      <c r="H134">
        <v>2</v>
      </c>
      <c r="I134" s="60">
        <f t="shared" si="56"/>
        <v>4.5166333519569264</v>
      </c>
      <c r="J134" s="60">
        <f t="shared" si="57"/>
        <v>1999.9999999999998</v>
      </c>
      <c r="K134" s="61">
        <f t="shared" si="50"/>
        <v>160.30250872299644</v>
      </c>
      <c r="L134">
        <f t="shared" si="51"/>
        <v>29.400000000000002</v>
      </c>
      <c r="M134" s="60">
        <f t="shared" si="52"/>
        <v>130.81863116367145</v>
      </c>
      <c r="N134">
        <f t="shared" si="53"/>
        <v>0</v>
      </c>
      <c r="O134" s="60">
        <f t="shared" si="47"/>
        <v>160.21863116367146</v>
      </c>
      <c r="P134" s="60">
        <f t="shared" si="48"/>
        <v>8.3877559324974982E-2</v>
      </c>
      <c r="Q134" s="60">
        <f t="shared" si="54"/>
        <v>5.5918372883316655E-4</v>
      </c>
    </row>
    <row r="135" spans="1:17" x14ac:dyDescent="0.25">
      <c r="A135">
        <f t="shared" si="58"/>
        <v>66.5</v>
      </c>
      <c r="B135" s="60">
        <f t="shared" si="44"/>
        <v>23.70546069147165</v>
      </c>
      <c r="C135" s="62">
        <f t="shared" si="59"/>
        <v>85.339658489297946</v>
      </c>
      <c r="D135">
        <f t="shared" si="49"/>
        <v>4228.5518752591797</v>
      </c>
      <c r="E135">
        <f t="shared" si="45"/>
        <v>0</v>
      </c>
      <c r="F135">
        <f t="shared" si="46"/>
        <v>2</v>
      </c>
      <c r="G135" s="60">
        <f t="shared" si="55"/>
        <v>9.0331601618848936</v>
      </c>
      <c r="H135">
        <v>2</v>
      </c>
      <c r="I135" s="60">
        <f t="shared" si="56"/>
        <v>4.5165800809424468</v>
      </c>
      <c r="J135" s="60">
        <f t="shared" si="57"/>
        <v>2000</v>
      </c>
      <c r="K135" s="61">
        <f t="shared" si="50"/>
        <v>160.30061804987827</v>
      </c>
      <c r="L135">
        <f t="shared" si="51"/>
        <v>29.400000000000002</v>
      </c>
      <c r="M135" s="60">
        <f t="shared" si="52"/>
        <v>130.82171707476672</v>
      </c>
      <c r="N135">
        <f t="shared" si="53"/>
        <v>0</v>
      </c>
      <c r="O135" s="60">
        <f t="shared" si="47"/>
        <v>160.22171707476673</v>
      </c>
      <c r="P135" s="60">
        <f t="shared" si="48"/>
        <v>7.8900975111537264E-2</v>
      </c>
      <c r="Q135" s="60">
        <f t="shared" si="54"/>
        <v>5.2600650074358178E-4</v>
      </c>
    </row>
    <row r="136" spans="1:17" x14ac:dyDescent="0.25">
      <c r="A136">
        <f t="shared" si="58"/>
        <v>67</v>
      </c>
      <c r="B136" s="60">
        <f t="shared" si="44"/>
        <v>23.705723694722021</v>
      </c>
      <c r="C136" s="62">
        <f t="shared" si="59"/>
        <v>85.340605300999272</v>
      </c>
      <c r="D136">
        <f t="shared" si="49"/>
        <v>4228.5987894660802</v>
      </c>
      <c r="E136">
        <f t="shared" si="45"/>
        <v>0</v>
      </c>
      <c r="F136">
        <f t="shared" si="46"/>
        <v>2</v>
      </c>
      <c r="G136" s="60">
        <f t="shared" si="55"/>
        <v>9.0330599434518142</v>
      </c>
      <c r="H136">
        <v>2</v>
      </c>
      <c r="I136" s="60">
        <f t="shared" si="56"/>
        <v>4.5165299717259071</v>
      </c>
      <c r="J136" s="60">
        <f t="shared" si="57"/>
        <v>2000</v>
      </c>
      <c r="K136" s="61">
        <f t="shared" si="50"/>
        <v>160.29883959400294</v>
      </c>
      <c r="L136">
        <f t="shared" si="51"/>
        <v>29.400000000000002</v>
      </c>
      <c r="M136" s="60">
        <f t="shared" si="52"/>
        <v>130.82461992724626</v>
      </c>
      <c r="N136">
        <f t="shared" si="53"/>
        <v>0</v>
      </c>
      <c r="O136" s="60">
        <f t="shared" si="47"/>
        <v>160.22461992724627</v>
      </c>
      <c r="P136" s="60">
        <f t="shared" si="48"/>
        <v>7.4219666756675906E-2</v>
      </c>
      <c r="Q136" s="60">
        <f t="shared" si="54"/>
        <v>4.9479777837783934E-4</v>
      </c>
    </row>
    <row r="137" spans="1:17" x14ac:dyDescent="0.25">
      <c r="A137">
        <f t="shared" si="58"/>
        <v>67.5</v>
      </c>
      <c r="B137" s="60">
        <f t="shared" si="44"/>
        <v>23.705971093611211</v>
      </c>
      <c r="C137" s="62">
        <f t="shared" si="59"/>
        <v>85.34149593700036</v>
      </c>
      <c r="D137">
        <f t="shared" si="49"/>
        <v>4228.6429201855981</v>
      </c>
      <c r="E137">
        <f t="shared" si="45"/>
        <v>0</v>
      </c>
      <c r="F137">
        <f t="shared" si="46"/>
        <v>2</v>
      </c>
      <c r="G137" s="60">
        <f t="shared" si="55"/>
        <v>9.0329656731522707</v>
      </c>
      <c r="H137">
        <v>2</v>
      </c>
      <c r="I137" s="60">
        <f t="shared" si="56"/>
        <v>4.5164828365761354</v>
      </c>
      <c r="J137" s="60">
        <f t="shared" si="57"/>
        <v>2000.0000000000002</v>
      </c>
      <c r="K137" s="61">
        <f t="shared" si="50"/>
        <v>160.29716669249231</v>
      </c>
      <c r="L137">
        <f t="shared" si="51"/>
        <v>29.400000000000002</v>
      </c>
      <c r="M137" s="60">
        <f t="shared" si="52"/>
        <v>130.82735057870872</v>
      </c>
      <c r="N137">
        <f t="shared" si="53"/>
        <v>0</v>
      </c>
      <c r="O137" s="60">
        <f t="shared" si="47"/>
        <v>160.22735057870872</v>
      </c>
      <c r="P137" s="60">
        <f t="shared" si="48"/>
        <v>6.9816113783588207E-2</v>
      </c>
      <c r="Q137" s="60">
        <f t="shared" si="54"/>
        <v>4.6544075855725473E-4</v>
      </c>
    </row>
    <row r="138" spans="1:17" x14ac:dyDescent="0.25">
      <c r="A138">
        <f t="shared" si="58"/>
        <v>68</v>
      </c>
      <c r="B138" s="60">
        <f t="shared" si="44"/>
        <v>23.706203813990491</v>
      </c>
      <c r="C138" s="62">
        <f t="shared" si="59"/>
        <v>85.342333730365766</v>
      </c>
      <c r="D138">
        <f t="shared" si="49"/>
        <v>4228.6844325699822</v>
      </c>
      <c r="E138">
        <f t="shared" si="45"/>
        <v>0</v>
      </c>
      <c r="F138">
        <f t="shared" si="46"/>
        <v>2</v>
      </c>
      <c r="G138" s="60">
        <f t="shared" si="55"/>
        <v>9.0328769978327639</v>
      </c>
      <c r="H138">
        <v>2</v>
      </c>
      <c r="I138" s="60">
        <f t="shared" si="56"/>
        <v>4.5164384989163819</v>
      </c>
      <c r="J138" s="60">
        <f t="shared" si="57"/>
        <v>2000</v>
      </c>
      <c r="K138" s="61">
        <f t="shared" si="50"/>
        <v>160.2955930783564</v>
      </c>
      <c r="L138">
        <f t="shared" si="51"/>
        <v>29.400000000000002</v>
      </c>
      <c r="M138" s="60">
        <f t="shared" si="52"/>
        <v>130.829919242947</v>
      </c>
      <c r="N138">
        <f t="shared" si="53"/>
        <v>0</v>
      </c>
      <c r="O138" s="60">
        <f t="shared" si="47"/>
        <v>160.22991924294701</v>
      </c>
      <c r="P138" s="60">
        <f t="shared" si="48"/>
        <v>6.5673835409398862E-2</v>
      </c>
      <c r="Q138" s="60">
        <f t="shared" si="54"/>
        <v>4.3782556939599241E-4</v>
      </c>
    </row>
    <row r="139" spans="1:17" x14ac:dyDescent="0.25">
      <c r="A139">
        <f t="shared" si="58"/>
        <v>68.5</v>
      </c>
      <c r="B139" s="60">
        <f t="shared" si="44"/>
        <v>23.706422726775191</v>
      </c>
      <c r="C139" s="62">
        <f t="shared" si="59"/>
        <v>85.343121816390692</v>
      </c>
      <c r="D139">
        <f t="shared" si="49"/>
        <v>4228.7234819720716</v>
      </c>
      <c r="E139">
        <f t="shared" si="45"/>
        <v>0</v>
      </c>
      <c r="F139">
        <f t="shared" si="46"/>
        <v>2</v>
      </c>
      <c r="G139" s="60">
        <f t="shared" si="55"/>
        <v>9.0327935853213006</v>
      </c>
      <c r="H139">
        <v>2</v>
      </c>
      <c r="I139" s="60">
        <f t="shared" si="56"/>
        <v>4.5163967926606503</v>
      </c>
      <c r="J139" s="60">
        <f t="shared" si="57"/>
        <v>2000</v>
      </c>
      <c r="K139" s="61">
        <f t="shared" si="50"/>
        <v>160.29411285693874</v>
      </c>
      <c r="L139">
        <f t="shared" si="51"/>
        <v>29.400000000000002</v>
      </c>
      <c r="M139" s="60">
        <f t="shared" si="52"/>
        <v>130.83233552810231</v>
      </c>
      <c r="N139">
        <f t="shared" si="53"/>
        <v>0</v>
      </c>
      <c r="O139" s="60">
        <f t="shared" si="47"/>
        <v>160.23233552810231</v>
      </c>
      <c r="P139" s="60">
        <f t="shared" si="48"/>
        <v>6.1777328836427614E-2</v>
      </c>
      <c r="Q139" s="60">
        <f t="shared" si="54"/>
        <v>4.1184885890951743E-4</v>
      </c>
    </row>
    <row r="140" spans="1:17" x14ac:dyDescent="0.25">
      <c r="A140">
        <f t="shared" si="58"/>
        <v>69</v>
      </c>
      <c r="B140" s="60">
        <f t="shared" si="44"/>
        <v>23.706628651204646</v>
      </c>
      <c r="C140" s="62">
        <f t="shared" si="59"/>
        <v>85.343863144336723</v>
      </c>
      <c r="D140">
        <f t="shared" si="49"/>
        <v>4228.7602145268047</v>
      </c>
      <c r="E140">
        <f t="shared" si="45"/>
        <v>0</v>
      </c>
      <c r="F140">
        <f t="shared" si="46"/>
        <v>2</v>
      </c>
      <c r="G140" s="60">
        <f t="shared" si="55"/>
        <v>9.0327151231792229</v>
      </c>
      <c r="H140">
        <v>2</v>
      </c>
      <c r="I140" s="60">
        <f t="shared" si="56"/>
        <v>4.5163575615896114</v>
      </c>
      <c r="J140" s="60">
        <f t="shared" si="57"/>
        <v>2000.0000000000002</v>
      </c>
      <c r="K140" s="61">
        <f t="shared" si="50"/>
        <v>160.29272048376666</v>
      </c>
      <c r="L140">
        <f t="shared" si="51"/>
        <v>29.400000000000002</v>
      </c>
      <c r="M140" s="60">
        <f t="shared" si="52"/>
        <v>130.83460847255887</v>
      </c>
      <c r="N140">
        <f t="shared" si="53"/>
        <v>0</v>
      </c>
      <c r="O140" s="60">
        <f t="shared" si="47"/>
        <v>160.23460847255888</v>
      </c>
      <c r="P140" s="60">
        <f t="shared" si="48"/>
        <v>5.8112011207782643E-2</v>
      </c>
      <c r="Q140" s="60">
        <f t="shared" si="54"/>
        <v>3.874134080518843E-4</v>
      </c>
    </row>
    <row r="141" spans="1:17" x14ac:dyDescent="0.25">
      <c r="A141">
        <f t="shared" si="58"/>
        <v>69.5</v>
      </c>
      <c r="B141" s="60">
        <f t="shared" si="44"/>
        <v>23.706822357908671</v>
      </c>
      <c r="C141" s="62">
        <f t="shared" si="59"/>
        <v>85.344560488471217</v>
      </c>
      <c r="D141">
        <f t="shared" si="49"/>
        <v>4228.7947676982121</v>
      </c>
      <c r="E141">
        <f t="shared" si="45"/>
        <v>0</v>
      </c>
      <c r="F141">
        <f t="shared" si="46"/>
        <v>2</v>
      </c>
      <c r="G141" s="60">
        <f t="shared" si="55"/>
        <v>9.032641317527478</v>
      </c>
      <c r="H141">
        <v>2</v>
      </c>
      <c r="I141" s="60">
        <f t="shared" si="56"/>
        <v>4.516320658763739</v>
      </c>
      <c r="J141" s="60">
        <f t="shared" si="57"/>
        <v>2000</v>
      </c>
      <c r="K141" s="61">
        <f t="shared" si="50"/>
        <v>160.29141074372239</v>
      </c>
      <c r="L141">
        <f t="shared" si="51"/>
        <v>29.400000000000002</v>
      </c>
      <c r="M141" s="60">
        <f t="shared" si="52"/>
        <v>130.83674657871421</v>
      </c>
      <c r="N141">
        <f t="shared" si="53"/>
        <v>0</v>
      </c>
      <c r="O141" s="60">
        <f t="shared" si="47"/>
        <v>160.23674657871422</v>
      </c>
      <c r="P141" s="60">
        <f t="shared" si="48"/>
        <v>5.4664165008176724E-2</v>
      </c>
      <c r="Q141" s="60">
        <f t="shared" si="54"/>
        <v>3.6442776672117815E-4</v>
      </c>
    </row>
    <row r="142" spans="1:17" x14ac:dyDescent="0.25">
      <c r="A142">
        <f t="shared" si="58"/>
        <v>70</v>
      </c>
      <c r="B142" s="60">
        <f t="shared" si="44"/>
        <v>23.70700457179203</v>
      </c>
      <c r="C142" s="62">
        <f t="shared" si="59"/>
        <v>85.345216458451304</v>
      </c>
      <c r="D142">
        <f t="shared" si="49"/>
        <v>4228.8272707939414</v>
      </c>
      <c r="E142">
        <f t="shared" si="45"/>
        <v>0</v>
      </c>
      <c r="F142">
        <f t="shared" si="46"/>
        <v>2</v>
      </c>
      <c r="G142" s="60">
        <f t="shared" si="55"/>
        <v>9.0325718919428812</v>
      </c>
      <c r="H142">
        <v>2</v>
      </c>
      <c r="I142" s="60">
        <f t="shared" si="56"/>
        <v>4.5162859459714406</v>
      </c>
      <c r="J142" s="60">
        <f t="shared" si="57"/>
        <v>2000</v>
      </c>
      <c r="K142" s="61">
        <f t="shared" si="50"/>
        <v>160.29017873145648</v>
      </c>
      <c r="L142">
        <f t="shared" si="51"/>
        <v>29.400000000000002</v>
      </c>
      <c r="M142" s="60">
        <f t="shared" si="52"/>
        <v>130.83875784474893</v>
      </c>
      <c r="N142">
        <f t="shared" si="53"/>
        <v>0</v>
      </c>
      <c r="O142" s="60">
        <f t="shared" si="47"/>
        <v>160.23875784474893</v>
      </c>
      <c r="P142" s="60">
        <f t="shared" si="48"/>
        <v>5.1420886707546742E-2</v>
      </c>
      <c r="Q142" s="60">
        <f t="shared" si="54"/>
        <v>3.4280591138364494E-4</v>
      </c>
    </row>
    <row r="143" spans="1:17" x14ac:dyDescent="0.25">
      <c r="A143">
        <f t="shared" si="58"/>
        <v>70.5</v>
      </c>
      <c r="B143" s="60">
        <f t="shared" si="44"/>
        <v>23.70717597474772</v>
      </c>
      <c r="C143" s="62">
        <f t="shared" si="59"/>
        <v>85.34583350909179</v>
      </c>
      <c r="D143">
        <f t="shared" si="49"/>
        <v>4228.8578454492563</v>
      </c>
      <c r="E143">
        <f t="shared" si="45"/>
        <v>0</v>
      </c>
      <c r="F143">
        <f t="shared" si="46"/>
        <v>2</v>
      </c>
      <c r="G143" s="60">
        <f t="shared" si="55"/>
        <v>9.0325065864201388</v>
      </c>
      <c r="H143">
        <v>2</v>
      </c>
      <c r="I143" s="60">
        <f t="shared" si="56"/>
        <v>4.5162532932100694</v>
      </c>
      <c r="J143" s="60">
        <f t="shared" si="57"/>
        <v>2000.0000000000002</v>
      </c>
      <c r="K143" s="61">
        <f t="shared" si="50"/>
        <v>160.28901983296802</v>
      </c>
      <c r="L143">
        <f t="shared" si="51"/>
        <v>29.400000000000002</v>
      </c>
      <c r="M143" s="60">
        <f t="shared" si="52"/>
        <v>130.84064979451563</v>
      </c>
      <c r="N143">
        <f t="shared" si="53"/>
        <v>0</v>
      </c>
      <c r="O143" s="60">
        <f t="shared" si="47"/>
        <v>160.24064979451563</v>
      </c>
      <c r="P143" s="60">
        <f t="shared" si="48"/>
        <v>4.8370038452389963E-2</v>
      </c>
      <c r="Q143" s="60">
        <f t="shared" si="54"/>
        <v>3.2246692301593309E-4</v>
      </c>
    </row>
    <row r="144" spans="1:17" x14ac:dyDescent="0.25">
      <c r="A144">
        <f t="shared" si="58"/>
        <v>71</v>
      </c>
      <c r="B144" s="60">
        <f t="shared" si="44"/>
        <v>23.707337208209228</v>
      </c>
      <c r="C144" s="62">
        <f t="shared" si="59"/>
        <v>85.346413949553224</v>
      </c>
      <c r="D144">
        <f t="shared" si="49"/>
        <v>4228.8866060822975</v>
      </c>
      <c r="E144">
        <f t="shared" si="45"/>
        <v>0</v>
      </c>
      <c r="F144">
        <f t="shared" si="46"/>
        <v>2</v>
      </c>
      <c r="G144" s="60">
        <f t="shared" si="55"/>
        <v>9.0324451563957435</v>
      </c>
      <c r="H144">
        <v>2</v>
      </c>
      <c r="I144" s="60">
        <f t="shared" si="56"/>
        <v>4.5162225781978718</v>
      </c>
      <c r="J144" s="60">
        <f t="shared" si="57"/>
        <v>2000</v>
      </c>
      <c r="K144" s="61">
        <f t="shared" si="50"/>
        <v>160.28792970828286</v>
      </c>
      <c r="L144">
        <f t="shared" si="51"/>
        <v>29.400000000000002</v>
      </c>
      <c r="M144" s="60">
        <f t="shared" si="52"/>
        <v>130.84242950565729</v>
      </c>
      <c r="N144">
        <f t="shared" si="53"/>
        <v>0</v>
      </c>
      <c r="O144" s="60">
        <f t="shared" si="47"/>
        <v>160.2424295056573</v>
      </c>
      <c r="P144" s="60">
        <f t="shared" si="48"/>
        <v>4.5500202625561315E-2</v>
      </c>
      <c r="Q144" s="60">
        <f t="shared" si="54"/>
        <v>3.0333468417040874E-4</v>
      </c>
    </row>
    <row r="145" spans="1:17" x14ac:dyDescent="0.25">
      <c r="A145">
        <f t="shared" si="58"/>
        <v>71.5</v>
      </c>
      <c r="B145" s="60">
        <f t="shared" si="44"/>
        <v>23.707488875551313</v>
      </c>
      <c r="C145" s="62">
        <f t="shared" si="59"/>
        <v>85.346959951984729</v>
      </c>
      <c r="D145">
        <f t="shared" si="49"/>
        <v>4228.9136603223369</v>
      </c>
      <c r="E145">
        <f t="shared" si="45"/>
        <v>0</v>
      </c>
      <c r="F145">
        <f t="shared" si="46"/>
        <v>2</v>
      </c>
      <c r="G145" s="60">
        <f t="shared" si="55"/>
        <v>9.0323873718300067</v>
      </c>
      <c r="H145">
        <v>2</v>
      </c>
      <c r="I145" s="60">
        <f t="shared" si="56"/>
        <v>4.5161936859150034</v>
      </c>
      <c r="J145" s="60">
        <f t="shared" si="57"/>
        <v>2000</v>
      </c>
      <c r="K145" s="61">
        <f t="shared" si="50"/>
        <v>160.28690427516364</v>
      </c>
      <c r="L145">
        <f t="shared" si="51"/>
        <v>29.400000000000002</v>
      </c>
      <c r="M145" s="60">
        <f t="shared" si="52"/>
        <v>130.84410363605991</v>
      </c>
      <c r="N145">
        <f t="shared" si="53"/>
        <v>0</v>
      </c>
      <c r="O145" s="60">
        <f t="shared" si="47"/>
        <v>160.24410363605992</v>
      </c>
      <c r="P145" s="60">
        <f t="shared" si="48"/>
        <v>4.2800639103717231E-2</v>
      </c>
      <c r="Q145" s="60">
        <f t="shared" si="54"/>
        <v>2.8533759402478155E-4</v>
      </c>
    </row>
    <row r="146" spans="1:17" x14ac:dyDescent="0.25">
      <c r="A146">
        <f t="shared" si="58"/>
        <v>72</v>
      </c>
      <c r="B146" s="60">
        <f t="shared" si="44"/>
        <v>23.707631544348324</v>
      </c>
      <c r="C146" s="62">
        <f t="shared" si="59"/>
        <v>85.347473559653963</v>
      </c>
      <c r="D146">
        <f t="shared" si="49"/>
        <v>4228.9391094126113</v>
      </c>
      <c r="E146">
        <f t="shared" si="45"/>
        <v>0</v>
      </c>
      <c r="F146">
        <f t="shared" si="46"/>
        <v>2</v>
      </c>
      <c r="G146" s="60">
        <f t="shared" si="55"/>
        <v>9.0323330163437543</v>
      </c>
      <c r="H146">
        <v>2</v>
      </c>
      <c r="I146" s="60">
        <f t="shared" si="56"/>
        <v>4.5161665081718771</v>
      </c>
      <c r="J146" s="60">
        <f t="shared" si="57"/>
        <v>2000</v>
      </c>
      <c r="K146" s="61">
        <f t="shared" si="50"/>
        <v>160.28593969378963</v>
      </c>
      <c r="L146">
        <f t="shared" si="51"/>
        <v>29.400000000000002</v>
      </c>
      <c r="M146" s="60">
        <f t="shared" si="52"/>
        <v>130.84567844873857</v>
      </c>
      <c r="N146">
        <f t="shared" si="53"/>
        <v>0</v>
      </c>
      <c r="O146" s="60">
        <f t="shared" si="47"/>
        <v>160.24567844873857</v>
      </c>
      <c r="P146" s="60">
        <f t="shared" si="48"/>
        <v>4.0261245051055994E-2</v>
      </c>
      <c r="Q146" s="60">
        <f t="shared" si="54"/>
        <v>2.6840830034037327E-4</v>
      </c>
    </row>
    <row r="147" spans="1:17" x14ac:dyDescent="0.25">
      <c r="A147">
        <f t="shared" si="58"/>
        <v>72.5</v>
      </c>
      <c r="B147" s="60">
        <f t="shared" si="44"/>
        <v>23.707765748498495</v>
      </c>
      <c r="C147" s="62">
        <f t="shared" si="59"/>
        <v>85.347956694594586</v>
      </c>
      <c r="D147">
        <f t="shared" si="49"/>
        <v>4228.963048589253</v>
      </c>
      <c r="E147">
        <f t="shared" si="45"/>
        <v>0</v>
      </c>
      <c r="F147">
        <f t="shared" si="46"/>
        <v>2</v>
      </c>
      <c r="G147" s="60">
        <f t="shared" si="55"/>
        <v>9.0322818864064427</v>
      </c>
      <c r="H147">
        <v>2</v>
      </c>
      <c r="I147" s="60">
        <f t="shared" si="56"/>
        <v>4.5161409432032213</v>
      </c>
      <c r="J147" s="60">
        <f t="shared" si="57"/>
        <v>1999.9999999999998</v>
      </c>
      <c r="K147" s="61">
        <f t="shared" si="50"/>
        <v>160.2850323523493</v>
      </c>
      <c r="L147">
        <f t="shared" si="51"/>
        <v>29.400000000000002</v>
      </c>
      <c r="M147" s="60">
        <f t="shared" si="52"/>
        <v>130.84715983524899</v>
      </c>
      <c r="N147">
        <f t="shared" si="53"/>
        <v>0</v>
      </c>
      <c r="O147" s="60">
        <f t="shared" si="47"/>
        <v>160.24715983524899</v>
      </c>
      <c r="P147" s="60">
        <f t="shared" si="48"/>
        <v>3.7872517100311143E-2</v>
      </c>
      <c r="Q147" s="60">
        <f t="shared" si="54"/>
        <v>2.5248344733540761E-4</v>
      </c>
    </row>
    <row r="148" spans="1:17" x14ac:dyDescent="0.25">
      <c r="A148">
        <f t="shared" si="58"/>
        <v>73</v>
      </c>
      <c r="B148" s="60">
        <f t="shared" si="44"/>
        <v>23.707891990222162</v>
      </c>
      <c r="C148" s="62">
        <f t="shared" si="59"/>
        <v>85.348411164799785</v>
      </c>
      <c r="D148">
        <f t="shared" si="49"/>
        <v>4228.9855674377286</v>
      </c>
      <c r="E148">
        <f t="shared" si="45"/>
        <v>0</v>
      </c>
      <c r="F148">
        <f t="shared" si="46"/>
        <v>2</v>
      </c>
      <c r="G148" s="60">
        <f t="shared" si="55"/>
        <v>9.0322337905725973</v>
      </c>
      <c r="H148">
        <v>2</v>
      </c>
      <c r="I148" s="60">
        <f t="shared" si="56"/>
        <v>4.5161168952862987</v>
      </c>
      <c r="J148" s="60">
        <f t="shared" si="57"/>
        <v>2000</v>
      </c>
      <c r="K148" s="61">
        <f t="shared" si="50"/>
        <v>160.28417885349032</v>
      </c>
      <c r="L148">
        <f t="shared" si="51"/>
        <v>29.400000000000002</v>
      </c>
      <c r="M148" s="60">
        <f t="shared" si="52"/>
        <v>130.84855333771137</v>
      </c>
      <c r="N148">
        <f t="shared" si="53"/>
        <v>0</v>
      </c>
      <c r="O148" s="60">
        <f t="shared" si="47"/>
        <v>160.24855333771137</v>
      </c>
      <c r="P148" s="60">
        <f t="shared" si="48"/>
        <v>3.5625515778946237E-2</v>
      </c>
      <c r="Q148" s="60">
        <f t="shared" si="54"/>
        <v>2.3750343852630825E-4</v>
      </c>
    </row>
    <row r="149" spans="1:17" x14ac:dyDescent="0.25">
      <c r="A149">
        <f t="shared" si="58"/>
        <v>73.5</v>
      </c>
      <c r="B149" s="60">
        <f t="shared" si="44"/>
        <v>23.708010741941425</v>
      </c>
      <c r="C149" s="62">
        <f t="shared" si="59"/>
        <v>85.348838670989139</v>
      </c>
      <c r="D149">
        <f t="shared" si="49"/>
        <v>4229.0067502281299</v>
      </c>
      <c r="E149">
        <f t="shared" si="45"/>
        <v>0</v>
      </c>
      <c r="F149">
        <f t="shared" si="46"/>
        <v>2</v>
      </c>
      <c r="G149" s="60">
        <f t="shared" si="55"/>
        <v>9.0321885487636937</v>
      </c>
      <c r="H149">
        <v>2</v>
      </c>
      <c r="I149" s="60">
        <f t="shared" si="56"/>
        <v>4.5160942743818469</v>
      </c>
      <c r="J149" s="60">
        <f t="shared" si="57"/>
        <v>1999.9999999999998</v>
      </c>
      <c r="K149" s="61">
        <f t="shared" si="50"/>
        <v>160.28337600157596</v>
      </c>
      <c r="L149">
        <f t="shared" si="51"/>
        <v>29.400000000000002</v>
      </c>
      <c r="M149" s="60">
        <f t="shared" si="52"/>
        <v>130.84986416953009</v>
      </c>
      <c r="N149">
        <f t="shared" si="53"/>
        <v>0</v>
      </c>
      <c r="O149" s="60">
        <f t="shared" si="47"/>
        <v>160.2498641695301</v>
      </c>
      <c r="P149" s="60">
        <f t="shared" si="48"/>
        <v>3.3511832045860501E-2</v>
      </c>
      <c r="Q149" s="60">
        <f t="shared" si="54"/>
        <v>2.2341221363907001E-4</v>
      </c>
    </row>
    <row r="150" spans="1:17" x14ac:dyDescent="0.25">
      <c r="A150">
        <f t="shared" si="58"/>
        <v>74</v>
      </c>
      <c r="B150" s="60">
        <f t="shared" si="44"/>
        <v>23.708122448048243</v>
      </c>
      <c r="C150" s="62">
        <f t="shared" si="59"/>
        <v>85.349240812973676</v>
      </c>
      <c r="D150">
        <f t="shared" si="49"/>
        <v>4229.0266762305646</v>
      </c>
      <c r="E150">
        <f t="shared" si="45"/>
        <v>0</v>
      </c>
      <c r="F150">
        <f t="shared" si="46"/>
        <v>2</v>
      </c>
      <c r="G150" s="60">
        <f t="shared" si="55"/>
        <v>9.0321459915927917</v>
      </c>
      <c r="H150">
        <v>2</v>
      </c>
      <c r="I150" s="60">
        <f t="shared" si="56"/>
        <v>4.5160729957963959</v>
      </c>
      <c r="J150" s="60">
        <f t="shared" si="57"/>
        <v>2000</v>
      </c>
      <c r="K150" s="61">
        <f t="shared" si="50"/>
        <v>160.28262079070004</v>
      </c>
      <c r="L150">
        <f t="shared" si="51"/>
        <v>29.400000000000002</v>
      </c>
      <c r="M150" s="60">
        <f t="shared" si="52"/>
        <v>130.85109723488492</v>
      </c>
      <c r="N150">
        <f t="shared" si="53"/>
        <v>0</v>
      </c>
      <c r="O150" s="60">
        <f t="shared" si="47"/>
        <v>160.25109723488492</v>
      </c>
      <c r="P150" s="60">
        <f t="shared" si="48"/>
        <v>3.1523555815113014E-2</v>
      </c>
      <c r="Q150" s="60">
        <f t="shared" si="54"/>
        <v>2.1015703876742009E-4</v>
      </c>
    </row>
    <row r="151" spans="1:17" x14ac:dyDescent="0.25">
      <c r="A151">
        <f t="shared" si="58"/>
        <v>74.5</v>
      </c>
      <c r="B151" s="60">
        <f t="shared" si="44"/>
        <v>23.708227526567626</v>
      </c>
      <c r="C151" s="62">
        <f t="shared" si="59"/>
        <v>85.349619095643462</v>
      </c>
      <c r="D151">
        <f t="shared" si="49"/>
        <v>4229.0454200118384</v>
      </c>
      <c r="E151">
        <f t="shared" si="45"/>
        <v>0</v>
      </c>
      <c r="F151">
        <f t="shared" si="46"/>
        <v>2</v>
      </c>
      <c r="G151" s="60">
        <f t="shared" si="55"/>
        <v>9.0321059597293125</v>
      </c>
      <c r="H151">
        <v>2</v>
      </c>
      <c r="I151" s="60">
        <f t="shared" si="56"/>
        <v>4.5160529798646563</v>
      </c>
      <c r="J151" s="60">
        <f t="shared" si="57"/>
        <v>1999.9999999999998</v>
      </c>
      <c r="K151" s="61">
        <f t="shared" si="50"/>
        <v>160.28191039341468</v>
      </c>
      <c r="L151">
        <f t="shared" si="51"/>
        <v>29.400000000000002</v>
      </c>
      <c r="M151" s="60">
        <f t="shared" si="52"/>
        <v>130.8522571470676</v>
      </c>
      <c r="N151">
        <f t="shared" si="53"/>
        <v>0</v>
      </c>
      <c r="O151" s="60">
        <f t="shared" si="47"/>
        <v>160.25225714706761</v>
      </c>
      <c r="P151" s="60">
        <f t="shared" si="48"/>
        <v>2.9653246347066897E-2</v>
      </c>
      <c r="Q151" s="60">
        <f t="shared" si="54"/>
        <v>1.9768830898044597E-4</v>
      </c>
    </row>
    <row r="152" spans="1:17" x14ac:dyDescent="0.25">
      <c r="A152">
        <f t="shared" si="58"/>
        <v>75</v>
      </c>
      <c r="B152" s="60">
        <f t="shared" si="44"/>
        <v>23.708326370722116</v>
      </c>
      <c r="C152" s="62">
        <f t="shared" si="59"/>
        <v>85.349974934599615</v>
      </c>
      <c r="D152">
        <f t="shared" si="49"/>
        <v>4229.0630517145191</v>
      </c>
      <c r="E152">
        <f t="shared" si="45"/>
        <v>0</v>
      </c>
      <c r="F152">
        <f t="shared" si="46"/>
        <v>2</v>
      </c>
      <c r="G152" s="60">
        <f t="shared" si="55"/>
        <v>9.0320683033016564</v>
      </c>
      <c r="H152">
        <v>2</v>
      </c>
      <c r="I152" s="60">
        <f t="shared" si="56"/>
        <v>4.5160341516508282</v>
      </c>
      <c r="J152" s="60">
        <f t="shared" si="57"/>
        <v>2000.0000000000002</v>
      </c>
      <c r="K152" s="61">
        <f t="shared" si="50"/>
        <v>160.28124215012897</v>
      </c>
      <c r="L152">
        <f t="shared" si="51"/>
        <v>29.400000000000002</v>
      </c>
      <c r="M152" s="60">
        <f t="shared" si="52"/>
        <v>130.85334824573096</v>
      </c>
      <c r="N152">
        <f t="shared" si="53"/>
        <v>0</v>
      </c>
      <c r="O152" s="60">
        <f t="shared" si="47"/>
        <v>160.25334824573096</v>
      </c>
      <c r="P152" s="60">
        <f t="shared" si="48"/>
        <v>2.7893904398013092E-2</v>
      </c>
      <c r="Q152" s="60">
        <f t="shared" si="54"/>
        <v>1.8595936265342061E-4</v>
      </c>
    </row>
    <row r="153" spans="1:17" x14ac:dyDescent="0.25">
      <c r="A153">
        <f t="shared" si="58"/>
        <v>75.5</v>
      </c>
      <c r="B153" s="60">
        <f t="shared" si="44"/>
        <v>23.708419350403442</v>
      </c>
      <c r="C153" s="62">
        <f t="shared" si="59"/>
        <v>85.3503096614524</v>
      </c>
      <c r="D153">
        <f t="shared" si="49"/>
        <v>4229.0796373194544</v>
      </c>
      <c r="E153">
        <f t="shared" si="45"/>
        <v>0</v>
      </c>
      <c r="F153">
        <f t="shared" si="46"/>
        <v>2</v>
      </c>
      <c r="G153" s="60">
        <f t="shared" si="55"/>
        <v>9.0320328813353008</v>
      </c>
      <c r="H153">
        <v>2</v>
      </c>
      <c r="I153" s="60">
        <f t="shared" si="56"/>
        <v>4.5160164406676504</v>
      </c>
      <c r="J153" s="60">
        <f t="shared" si="57"/>
        <v>2000</v>
      </c>
      <c r="K153" s="61">
        <f t="shared" si="50"/>
        <v>160.28061355913781</v>
      </c>
      <c r="L153">
        <f t="shared" si="51"/>
        <v>29.400000000000002</v>
      </c>
      <c r="M153" s="60">
        <f t="shared" si="52"/>
        <v>130.85437461311668</v>
      </c>
      <c r="N153">
        <f t="shared" si="53"/>
        <v>0</v>
      </c>
      <c r="O153" s="60">
        <f t="shared" si="47"/>
        <v>160.25437461311668</v>
      </c>
      <c r="P153" s="60">
        <f t="shared" si="48"/>
        <v>2.6238946021123866E-2</v>
      </c>
      <c r="Q153" s="60">
        <f t="shared" si="54"/>
        <v>1.7492630680749244E-4</v>
      </c>
    </row>
    <row r="154" spans="1:17" x14ac:dyDescent="0.25">
      <c r="A154">
        <f t="shared" si="58"/>
        <v>76</v>
      </c>
      <c r="B154" s="60">
        <f t="shared" ref="B154:B171" si="60">B153+(Q153*(A154-A153))</f>
        <v>23.708506813556845</v>
      </c>
      <c r="C154" s="62">
        <f t="shared" si="59"/>
        <v>85.350624528804644</v>
      </c>
      <c r="D154">
        <f t="shared" si="49"/>
        <v>4229.0952388927017</v>
      </c>
      <c r="E154">
        <f t="shared" ref="E154:E171" si="61">E153</f>
        <v>0</v>
      </c>
      <c r="F154">
        <f t="shared" ref="F154:F171" si="62">F153</f>
        <v>2</v>
      </c>
      <c r="G154" s="60">
        <f t="shared" si="55"/>
        <v>9.0319995612243531</v>
      </c>
      <c r="H154">
        <v>2</v>
      </c>
      <c r="I154" s="60">
        <f t="shared" si="56"/>
        <v>4.5159997806121766</v>
      </c>
      <c r="J154" s="60">
        <f t="shared" si="57"/>
        <v>2000</v>
      </c>
      <c r="K154" s="61">
        <f t="shared" si="50"/>
        <v>160.28002226724411</v>
      </c>
      <c r="L154">
        <f t="shared" si="51"/>
        <v>29.400000000000002</v>
      </c>
      <c r="M154" s="60">
        <f t="shared" si="52"/>
        <v>130.85534008932004</v>
      </c>
      <c r="N154">
        <f t="shared" si="53"/>
        <v>0</v>
      </c>
      <c r="O154" s="60">
        <f t="shared" ref="O154:O171" si="63">L154+M154+N154</f>
        <v>160.25534008932004</v>
      </c>
      <c r="P154" s="60">
        <f t="shared" ref="P154:P171" si="64">K154-O154</f>
        <v>2.4682177924063353E-2</v>
      </c>
      <c r="Q154" s="60">
        <f t="shared" si="54"/>
        <v>1.6454785282708903E-4</v>
      </c>
    </row>
    <row r="155" spans="1:17" x14ac:dyDescent="0.25">
      <c r="A155">
        <f t="shared" si="58"/>
        <v>76.5</v>
      </c>
      <c r="B155" s="60">
        <f t="shared" si="60"/>
        <v>23.708589087483258</v>
      </c>
      <c r="C155" s="62">
        <f t="shared" si="59"/>
        <v>85.350920714939733</v>
      </c>
      <c r="D155">
        <f t="shared" si="49"/>
        <v>4229.1099148178118</v>
      </c>
      <c r="E155">
        <f t="shared" si="61"/>
        <v>0</v>
      </c>
      <c r="F155">
        <f t="shared" si="62"/>
        <v>2</v>
      </c>
      <c r="G155" s="60">
        <f t="shared" si="55"/>
        <v>9.031968218234498</v>
      </c>
      <c r="H155">
        <v>2</v>
      </c>
      <c r="I155" s="60">
        <f t="shared" si="56"/>
        <v>4.515984109117249</v>
      </c>
      <c r="J155" s="60">
        <f t="shared" si="57"/>
        <v>2000</v>
      </c>
      <c r="K155" s="61">
        <f t="shared" si="50"/>
        <v>160.27946606093806</v>
      </c>
      <c r="L155">
        <f t="shared" si="51"/>
        <v>29.400000000000002</v>
      </c>
      <c r="M155" s="60">
        <f t="shared" si="52"/>
        <v>130.85624828665073</v>
      </c>
      <c r="N155">
        <f t="shared" si="53"/>
        <v>0</v>
      </c>
      <c r="O155" s="60">
        <f t="shared" si="63"/>
        <v>160.25624828665073</v>
      </c>
      <c r="P155" s="60">
        <f t="shared" si="64"/>
        <v>2.3217774287331849E-2</v>
      </c>
      <c r="Q155" s="60">
        <f t="shared" si="54"/>
        <v>1.5478516191554567E-4</v>
      </c>
    </row>
    <row r="156" spans="1:17" x14ac:dyDescent="0.25">
      <c r="A156">
        <f t="shared" si="58"/>
        <v>77</v>
      </c>
      <c r="B156" s="60">
        <f t="shared" si="60"/>
        <v>23.708666480064217</v>
      </c>
      <c r="C156" s="62">
        <f t="shared" si="59"/>
        <v>85.351199328231189</v>
      </c>
      <c r="D156">
        <f t="shared" si="49"/>
        <v>4229.1237200143278</v>
      </c>
      <c r="E156">
        <f t="shared" si="61"/>
        <v>0</v>
      </c>
      <c r="F156">
        <f t="shared" si="62"/>
        <v>2</v>
      </c>
      <c r="G156" s="60">
        <f t="shared" si="55"/>
        <v>9.0319387350355118</v>
      </c>
      <c r="H156">
        <v>2</v>
      </c>
      <c r="I156" s="60">
        <f t="shared" si="56"/>
        <v>4.5159693675177559</v>
      </c>
      <c r="J156" s="60">
        <f t="shared" si="57"/>
        <v>2000</v>
      </c>
      <c r="K156" s="61">
        <f t="shared" si="50"/>
        <v>160.27894285810154</v>
      </c>
      <c r="L156">
        <f t="shared" si="51"/>
        <v>29.400000000000002</v>
      </c>
      <c r="M156" s="60">
        <f t="shared" si="52"/>
        <v>130.85710260314184</v>
      </c>
      <c r="N156">
        <f t="shared" si="53"/>
        <v>0</v>
      </c>
      <c r="O156" s="60">
        <f t="shared" si="63"/>
        <v>160.25710260314185</v>
      </c>
      <c r="P156" s="60">
        <f t="shared" si="64"/>
        <v>2.1840254959698768E-2</v>
      </c>
      <c r="Q156" s="60">
        <f t="shared" si="54"/>
        <v>1.4560169973132513E-4</v>
      </c>
    </row>
    <row r="157" spans="1:17" x14ac:dyDescent="0.25">
      <c r="A157">
        <f t="shared" si="58"/>
        <v>77.5</v>
      </c>
      <c r="B157" s="60">
        <f t="shared" si="60"/>
        <v>23.708739280914081</v>
      </c>
      <c r="C157" s="62">
        <f t="shared" si="59"/>
        <v>85.3514614112907</v>
      </c>
      <c r="D157">
        <f t="shared" si="49"/>
        <v>4229.1367061433139</v>
      </c>
      <c r="E157">
        <f t="shared" si="61"/>
        <v>0</v>
      </c>
      <c r="F157">
        <f t="shared" si="62"/>
        <v>2</v>
      </c>
      <c r="G157" s="60">
        <f t="shared" si="55"/>
        <v>9.0319110012615624</v>
      </c>
      <c r="H157">
        <v>2</v>
      </c>
      <c r="I157" s="60">
        <f t="shared" si="56"/>
        <v>4.5159555006307812</v>
      </c>
      <c r="J157" s="60">
        <f t="shared" si="57"/>
        <v>2000</v>
      </c>
      <c r="K157" s="61">
        <f t="shared" si="50"/>
        <v>160.27845070020493</v>
      </c>
      <c r="L157">
        <f t="shared" si="51"/>
        <v>29.400000000000002</v>
      </c>
      <c r="M157" s="60">
        <f t="shared" si="52"/>
        <v>130.85790623525793</v>
      </c>
      <c r="N157">
        <f t="shared" si="53"/>
        <v>0</v>
      </c>
      <c r="O157" s="60">
        <f t="shared" si="63"/>
        <v>160.25790623525793</v>
      </c>
      <c r="P157" s="60">
        <f t="shared" si="64"/>
        <v>2.0544464946993912E-2</v>
      </c>
      <c r="Q157" s="60">
        <f t="shared" si="54"/>
        <v>1.3696309964662608E-4</v>
      </c>
    </row>
    <row r="158" spans="1:17" x14ac:dyDescent="0.25">
      <c r="A158">
        <f t="shared" si="58"/>
        <v>78</v>
      </c>
      <c r="B158" s="60">
        <f t="shared" si="60"/>
        <v>23.708807762463906</v>
      </c>
      <c r="C158" s="62">
        <f t="shared" si="59"/>
        <v>85.351707944870057</v>
      </c>
      <c r="D158">
        <f t="shared" si="49"/>
        <v>4229.1489218006973</v>
      </c>
      <c r="E158">
        <f t="shared" si="61"/>
        <v>0</v>
      </c>
      <c r="F158">
        <f t="shared" si="62"/>
        <v>2</v>
      </c>
      <c r="G158" s="60">
        <f t="shared" si="55"/>
        <v>9.0318849130976417</v>
      </c>
      <c r="H158">
        <v>2</v>
      </c>
      <c r="I158" s="60">
        <f t="shared" si="56"/>
        <v>4.5159424565488209</v>
      </c>
      <c r="J158" s="60">
        <f t="shared" si="57"/>
        <v>1999.9999999999998</v>
      </c>
      <c r="K158" s="61">
        <f t="shared" si="50"/>
        <v>160.2779877449683</v>
      </c>
      <c r="L158">
        <f t="shared" si="51"/>
        <v>29.400000000000002</v>
      </c>
      <c r="M158" s="60">
        <f t="shared" si="52"/>
        <v>130.85866218985018</v>
      </c>
      <c r="N158">
        <f t="shared" si="53"/>
        <v>0</v>
      </c>
      <c r="O158" s="60">
        <f t="shared" si="63"/>
        <v>160.25866218985018</v>
      </c>
      <c r="P158" s="60">
        <f t="shared" si="64"/>
        <v>1.932555511811529E-2</v>
      </c>
      <c r="Q158" s="60">
        <f t="shared" si="54"/>
        <v>1.288370341207686E-4</v>
      </c>
    </row>
    <row r="159" spans="1:17" x14ac:dyDescent="0.25">
      <c r="A159">
        <f t="shared" si="58"/>
        <v>78.5</v>
      </c>
      <c r="B159" s="60">
        <f t="shared" si="60"/>
        <v>23.708872180980965</v>
      </c>
      <c r="C159" s="62">
        <f t="shared" si="59"/>
        <v>85.351939851531469</v>
      </c>
      <c r="D159">
        <f t="shared" si="49"/>
        <v>4229.1604126991306</v>
      </c>
      <c r="E159">
        <f t="shared" si="61"/>
        <v>0</v>
      </c>
      <c r="F159">
        <f t="shared" si="62"/>
        <v>2</v>
      </c>
      <c r="G159" s="60">
        <f t="shared" si="55"/>
        <v>9.0318603728905877</v>
      </c>
      <c r="H159">
        <v>2</v>
      </c>
      <c r="I159" s="60">
        <f t="shared" si="56"/>
        <v>4.5159301864452939</v>
      </c>
      <c r="J159" s="60">
        <f t="shared" si="57"/>
        <v>1999.9999999999998</v>
      </c>
      <c r="K159" s="61">
        <f t="shared" si="50"/>
        <v>160.27755225945856</v>
      </c>
      <c r="L159">
        <f t="shared" si="51"/>
        <v>29.400000000000002</v>
      </c>
      <c r="M159" s="60">
        <f t="shared" si="52"/>
        <v>130.85937329540207</v>
      </c>
      <c r="N159">
        <f t="shared" si="53"/>
        <v>0</v>
      </c>
      <c r="O159" s="60">
        <f t="shared" si="63"/>
        <v>160.25937329540207</v>
      </c>
      <c r="P159" s="60">
        <f t="shared" si="64"/>
        <v>1.8178964056488667E-2</v>
      </c>
      <c r="Q159" s="60">
        <f t="shared" si="54"/>
        <v>1.2119309370992444E-4</v>
      </c>
    </row>
    <row r="160" spans="1:17" x14ac:dyDescent="0.25">
      <c r="A160">
        <f t="shared" si="58"/>
        <v>79</v>
      </c>
      <c r="B160" s="60">
        <f t="shared" si="60"/>
        <v>23.708932777527821</v>
      </c>
      <c r="C160" s="62">
        <f t="shared" si="59"/>
        <v>85.352157999100157</v>
      </c>
      <c r="D160">
        <f t="shared" si="49"/>
        <v>4229.1712218390658</v>
      </c>
      <c r="E160">
        <f t="shared" si="61"/>
        <v>0</v>
      </c>
      <c r="F160">
        <f t="shared" si="62"/>
        <v>2</v>
      </c>
      <c r="G160" s="60">
        <f t="shared" si="55"/>
        <v>9.0318372887831995</v>
      </c>
      <c r="H160">
        <v>2</v>
      </c>
      <c r="I160" s="60">
        <f t="shared" si="56"/>
        <v>4.5159186443915997</v>
      </c>
      <c r="J160" s="60">
        <f t="shared" si="57"/>
        <v>1999.9999999999998</v>
      </c>
      <c r="K160" s="61">
        <f t="shared" si="50"/>
        <v>160.27714261359651</v>
      </c>
      <c r="L160">
        <f t="shared" si="51"/>
        <v>29.400000000000002</v>
      </c>
      <c r="M160" s="60">
        <f t="shared" si="52"/>
        <v>130.86004221260899</v>
      </c>
      <c r="N160">
        <f t="shared" si="53"/>
        <v>0</v>
      </c>
      <c r="O160" s="60">
        <f t="shared" si="63"/>
        <v>160.26004221260899</v>
      </c>
      <c r="P160" s="60">
        <f t="shared" si="64"/>
        <v>1.7100400987516196E-2</v>
      </c>
      <c r="Q160" s="60">
        <f t="shared" si="54"/>
        <v>1.1400267325010798E-4</v>
      </c>
    </row>
    <row r="161" spans="1:17" x14ac:dyDescent="0.25">
      <c r="A161">
        <f t="shared" si="58"/>
        <v>79.5</v>
      </c>
      <c r="B161" s="60">
        <f t="shared" si="60"/>
        <v>23.708989778864446</v>
      </c>
      <c r="C161" s="62">
        <f t="shared" si="59"/>
        <v>85.352363203912006</v>
      </c>
      <c r="D161">
        <f t="shared" si="49"/>
        <v>4229.1813896696767</v>
      </c>
      <c r="E161">
        <f t="shared" si="61"/>
        <v>0</v>
      </c>
      <c r="F161">
        <f t="shared" si="62"/>
        <v>2</v>
      </c>
      <c r="G161" s="60">
        <f t="shared" si="55"/>
        <v>9.0318155743701265</v>
      </c>
      <c r="H161">
        <v>2</v>
      </c>
      <c r="I161" s="60">
        <f t="shared" si="56"/>
        <v>4.5159077871850632</v>
      </c>
      <c r="J161" s="60">
        <f t="shared" si="57"/>
        <v>2000</v>
      </c>
      <c r="K161" s="61">
        <f t="shared" si="50"/>
        <v>160.27675727405045</v>
      </c>
      <c r="L161">
        <f t="shared" si="51"/>
        <v>29.400000000000002</v>
      </c>
      <c r="M161" s="60">
        <f t="shared" si="52"/>
        <v>130.86067144432965</v>
      </c>
      <c r="N161">
        <f t="shared" si="53"/>
        <v>0</v>
      </c>
      <c r="O161" s="60">
        <f t="shared" si="63"/>
        <v>160.26067144432966</v>
      </c>
      <c r="P161" s="60">
        <f t="shared" si="64"/>
        <v>1.6085829720793754E-2</v>
      </c>
      <c r="Q161" s="60">
        <f t="shared" si="54"/>
        <v>1.0723886480529169E-4</v>
      </c>
    </row>
    <row r="162" spans="1:17" x14ac:dyDescent="0.25">
      <c r="A162">
        <f t="shared" si="58"/>
        <v>80</v>
      </c>
      <c r="B162" s="60">
        <f t="shared" si="60"/>
        <v>23.709043398296849</v>
      </c>
      <c r="C162" s="62">
        <f t="shared" si="59"/>
        <v>85.352556233868654</v>
      </c>
      <c r="D162">
        <f t="shared" ref="D162:D182" si="65">(C162*GearRatio)/(2*PI()*WheelRadius*0.001*60)</f>
        <v>4229.1909542402373</v>
      </c>
      <c r="E162">
        <f t="shared" si="61"/>
        <v>0</v>
      </c>
      <c r="F162">
        <f t="shared" si="62"/>
        <v>2</v>
      </c>
      <c r="G162" s="60">
        <f t="shared" si="55"/>
        <v>9.0317951483741652</v>
      </c>
      <c r="H162">
        <v>2</v>
      </c>
      <c r="I162" s="60">
        <f t="shared" si="56"/>
        <v>4.5158975741870826</v>
      </c>
      <c r="J162" s="60">
        <f t="shared" si="57"/>
        <v>2000</v>
      </c>
      <c r="K162" s="61">
        <f t="shared" ref="K162:K182" si="66">(G162*GearRatio*GearEfficency)/WheelRadius</f>
        <v>160.27639479849171</v>
      </c>
      <c r="L162">
        <f t="shared" ref="L162:L182" si="67">Froll</f>
        <v>29.400000000000002</v>
      </c>
      <c r="M162" s="60">
        <f t="shared" ref="M162:M182" si="68">Cd*Density*Area*C162*C162*0.03858025308642</f>
        <v>130.8612633449485</v>
      </c>
      <c r="N162">
        <f t="shared" ref="N162:N182" si="69">(KerbWeight+LoadWeight)*9.8*SIN(E162*0.01745329)</f>
        <v>0</v>
      </c>
      <c r="O162" s="60">
        <f t="shared" si="63"/>
        <v>160.2612633449485</v>
      </c>
      <c r="P162" s="60">
        <f t="shared" si="64"/>
        <v>1.5131453543204998E-2</v>
      </c>
      <c r="Q162" s="60">
        <f t="shared" ref="Q162:Q182" si="70">P162/(KerbWeight+LoadWeight)</f>
        <v>1.0087635695469998E-4</v>
      </c>
    </row>
    <row r="163" spans="1:17" x14ac:dyDescent="0.25">
      <c r="A163">
        <f t="shared" si="58"/>
        <v>80.5</v>
      </c>
      <c r="B163" s="60">
        <f t="shared" si="60"/>
        <v>23.709093836475326</v>
      </c>
      <c r="C163" s="62">
        <f t="shared" si="59"/>
        <v>85.352737811311172</v>
      </c>
      <c r="D163">
        <f t="shared" si="65"/>
        <v>4229.1999513425062</v>
      </c>
      <c r="E163">
        <f t="shared" si="61"/>
        <v>0</v>
      </c>
      <c r="F163">
        <f t="shared" si="62"/>
        <v>2</v>
      </c>
      <c r="G163" s="60">
        <f t="shared" si="55"/>
        <v>9.0317759343418285</v>
      </c>
      <c r="H163">
        <v>2</v>
      </c>
      <c r="I163" s="60">
        <f t="shared" si="56"/>
        <v>4.5158879671709142</v>
      </c>
      <c r="J163" s="60">
        <f t="shared" si="57"/>
        <v>2000</v>
      </c>
      <c r="K163" s="61">
        <f t="shared" si="66"/>
        <v>160.27605383019227</v>
      </c>
      <c r="L163">
        <f t="shared" si="67"/>
        <v>29.400000000000002</v>
      </c>
      <c r="M163" s="60">
        <f t="shared" si="68"/>
        <v>130.86182012918195</v>
      </c>
      <c r="N163">
        <f t="shared" si="69"/>
        <v>0</v>
      </c>
      <c r="O163" s="60">
        <f t="shared" si="63"/>
        <v>160.26182012918196</v>
      </c>
      <c r="P163" s="60">
        <f t="shared" si="64"/>
        <v>1.4233701010311961E-2</v>
      </c>
      <c r="Q163" s="60">
        <f t="shared" si="70"/>
        <v>9.4891340068746407E-5</v>
      </c>
    </row>
    <row r="164" spans="1:17" x14ac:dyDescent="0.25">
      <c r="A164">
        <f t="shared" si="58"/>
        <v>81</v>
      </c>
      <c r="B164" s="60">
        <f t="shared" si="60"/>
        <v>23.70914128214536</v>
      </c>
      <c r="C164" s="62">
        <f t="shared" si="59"/>
        <v>85.352908615723294</v>
      </c>
      <c r="D164">
        <f t="shared" si="65"/>
        <v>4229.2084146446796</v>
      </c>
      <c r="E164">
        <f t="shared" si="61"/>
        <v>0</v>
      </c>
      <c r="F164">
        <f t="shared" si="62"/>
        <v>2</v>
      </c>
      <c r="G164" s="60">
        <f t="shared" si="55"/>
        <v>9.0317578603569597</v>
      </c>
      <c r="H164">
        <v>2</v>
      </c>
      <c r="I164" s="60">
        <f t="shared" si="56"/>
        <v>4.5158789301784799</v>
      </c>
      <c r="J164" s="60">
        <f t="shared" si="57"/>
        <v>2000</v>
      </c>
      <c r="K164" s="61">
        <f t="shared" si="66"/>
        <v>160.27573309294277</v>
      </c>
      <c r="L164">
        <f t="shared" si="67"/>
        <v>29.400000000000002</v>
      </c>
      <c r="M164" s="60">
        <f t="shared" si="68"/>
        <v>130.86234388036308</v>
      </c>
      <c r="N164">
        <f t="shared" si="69"/>
        <v>0</v>
      </c>
      <c r="O164" s="60">
        <f t="shared" si="63"/>
        <v>160.26234388036309</v>
      </c>
      <c r="P164" s="60">
        <f t="shared" si="64"/>
        <v>1.3389212579681953E-2</v>
      </c>
      <c r="Q164" s="60">
        <f t="shared" si="70"/>
        <v>8.9261417197879689E-5</v>
      </c>
    </row>
    <row r="165" spans="1:17" x14ac:dyDescent="0.25">
      <c r="A165">
        <f t="shared" si="58"/>
        <v>81.5</v>
      </c>
      <c r="B165" s="60">
        <f t="shared" si="60"/>
        <v>23.709185912853957</v>
      </c>
      <c r="C165" s="62">
        <f t="shared" si="59"/>
        <v>85.353069286274248</v>
      </c>
      <c r="D165">
        <f t="shared" si="65"/>
        <v>4229.216375817381</v>
      </c>
      <c r="E165">
        <f t="shared" si="61"/>
        <v>0</v>
      </c>
      <c r="F165">
        <f t="shared" si="62"/>
        <v>2</v>
      </c>
      <c r="G165" s="60">
        <f t="shared" si="55"/>
        <v>9.0317408587713857</v>
      </c>
      <c r="H165">
        <v>2</v>
      </c>
      <c r="I165" s="60">
        <f t="shared" si="56"/>
        <v>4.5158704293856928</v>
      </c>
      <c r="J165" s="60">
        <f t="shared" si="57"/>
        <v>1999.9999999999998</v>
      </c>
      <c r="K165" s="61">
        <f t="shared" si="66"/>
        <v>160.27543138627237</v>
      </c>
      <c r="L165">
        <f t="shared" si="67"/>
        <v>29.400000000000002</v>
      </c>
      <c r="M165" s="60">
        <f t="shared" si="68"/>
        <v>130.86283655823479</v>
      </c>
      <c r="N165">
        <f t="shared" si="69"/>
        <v>0</v>
      </c>
      <c r="O165" s="60">
        <f t="shared" si="63"/>
        <v>160.2628365582348</v>
      </c>
      <c r="P165" s="60">
        <f t="shared" si="64"/>
        <v>1.2594828037578054E-2</v>
      </c>
      <c r="Q165" s="60">
        <f t="shared" si="70"/>
        <v>8.3965520250520357E-5</v>
      </c>
    </row>
    <row r="166" spans="1:17" x14ac:dyDescent="0.25">
      <c r="A166">
        <f t="shared" si="58"/>
        <v>82</v>
      </c>
      <c r="B166" s="60">
        <f t="shared" si="60"/>
        <v>23.709227895614085</v>
      </c>
      <c r="C166" s="62">
        <f t="shared" si="59"/>
        <v>85.353220424210704</v>
      </c>
      <c r="D166">
        <f t="shared" si="65"/>
        <v>4229.2238646521855</v>
      </c>
      <c r="E166">
        <f t="shared" si="61"/>
        <v>0</v>
      </c>
      <c r="F166">
        <f t="shared" si="62"/>
        <v>2</v>
      </c>
      <c r="G166" s="60">
        <f t="shared" si="55"/>
        <v>9.0317248659515563</v>
      </c>
      <c r="H166">
        <v>2</v>
      </c>
      <c r="I166" s="60">
        <f t="shared" si="56"/>
        <v>4.5158624329757782</v>
      </c>
      <c r="J166" s="60">
        <f t="shared" si="57"/>
        <v>2000</v>
      </c>
      <c r="K166" s="61">
        <f t="shared" si="66"/>
        <v>160.27514758095319</v>
      </c>
      <c r="L166">
        <f t="shared" si="67"/>
        <v>29.400000000000002</v>
      </c>
      <c r="M166" s="60">
        <f t="shared" si="68"/>
        <v>130.86330000628072</v>
      </c>
      <c r="N166">
        <f t="shared" si="69"/>
        <v>0</v>
      </c>
      <c r="O166" s="60">
        <f t="shared" si="63"/>
        <v>160.26330000628073</v>
      </c>
      <c r="P166" s="60">
        <f t="shared" si="64"/>
        <v>1.184757467245845E-2</v>
      </c>
      <c r="Q166" s="60">
        <f t="shared" si="70"/>
        <v>7.8983831149722993E-5</v>
      </c>
    </row>
    <row r="167" spans="1:17" x14ac:dyDescent="0.25">
      <c r="A167">
        <f t="shared" si="58"/>
        <v>82.5</v>
      </c>
      <c r="B167" s="60">
        <f t="shared" si="60"/>
        <v>23.70926738752966</v>
      </c>
      <c r="C167" s="62">
        <f t="shared" si="59"/>
        <v>85.353362595106773</v>
      </c>
      <c r="D167">
        <f t="shared" si="65"/>
        <v>4229.2309091731004</v>
      </c>
      <c r="E167">
        <f t="shared" si="61"/>
        <v>0</v>
      </c>
      <c r="F167">
        <f t="shared" si="62"/>
        <v>2</v>
      </c>
      <c r="G167" s="60">
        <f t="shared" si="55"/>
        <v>9.031709822040245</v>
      </c>
      <c r="H167">
        <v>2</v>
      </c>
      <c r="I167" s="60">
        <f t="shared" si="56"/>
        <v>4.5158549110201225</v>
      </c>
      <c r="J167" s="60">
        <f t="shared" si="57"/>
        <v>2000.0000000000002</v>
      </c>
      <c r="K167" s="61">
        <f t="shared" si="66"/>
        <v>160.27488061477106</v>
      </c>
      <c r="L167">
        <f t="shared" si="67"/>
        <v>29.400000000000002</v>
      </c>
      <c r="M167" s="60">
        <f t="shared" si="68"/>
        <v>130.8637359586215</v>
      </c>
      <c r="N167">
        <f t="shared" si="69"/>
        <v>0</v>
      </c>
      <c r="O167" s="60">
        <f t="shared" si="63"/>
        <v>160.26373595862151</v>
      </c>
      <c r="P167" s="60">
        <f t="shared" si="64"/>
        <v>1.1144656149554066E-2</v>
      </c>
      <c r="Q167" s="60">
        <f t="shared" si="70"/>
        <v>7.4297707663693782E-5</v>
      </c>
    </row>
    <row r="168" spans="1:17" x14ac:dyDescent="0.25">
      <c r="A168">
        <f t="shared" si="58"/>
        <v>83</v>
      </c>
      <c r="B168" s="60">
        <f t="shared" si="60"/>
        <v>23.709304536383492</v>
      </c>
      <c r="C168" s="62">
        <f t="shared" si="59"/>
        <v>85.353496330980576</v>
      </c>
      <c r="D168">
        <f t="shared" si="65"/>
        <v>4229.2375357414512</v>
      </c>
      <c r="E168">
        <f t="shared" si="61"/>
        <v>0</v>
      </c>
      <c r="F168">
        <f t="shared" si="62"/>
        <v>2</v>
      </c>
      <c r="G168" s="60">
        <f t="shared" si="55"/>
        <v>9.0316956707323648</v>
      </c>
      <c r="H168">
        <v>2</v>
      </c>
      <c r="I168" s="60">
        <f t="shared" si="56"/>
        <v>4.5158478353661824</v>
      </c>
      <c r="J168" s="60">
        <f t="shared" si="57"/>
        <v>1999.9999999999998</v>
      </c>
      <c r="K168" s="61">
        <f t="shared" si="66"/>
        <v>160.27462948854736</v>
      </c>
      <c r="L168">
        <f t="shared" si="67"/>
        <v>29.400000000000002</v>
      </c>
      <c r="M168" s="60">
        <f t="shared" si="68"/>
        <v>130.86414604650219</v>
      </c>
      <c r="N168">
        <f t="shared" si="69"/>
        <v>0</v>
      </c>
      <c r="O168" s="60">
        <f t="shared" si="63"/>
        <v>160.26414604650219</v>
      </c>
      <c r="P168" s="60">
        <f t="shared" si="64"/>
        <v>1.0483442045170932E-2</v>
      </c>
      <c r="Q168" s="60">
        <f t="shared" si="70"/>
        <v>6.9889613634472887E-5</v>
      </c>
    </row>
    <row r="169" spans="1:17" x14ac:dyDescent="0.25">
      <c r="A169">
        <f t="shared" si="58"/>
        <v>83.5</v>
      </c>
      <c r="B169" s="60">
        <f t="shared" si="60"/>
        <v>23.709339481190309</v>
      </c>
      <c r="C169" s="62">
        <f t="shared" si="59"/>
        <v>85.353622132285111</v>
      </c>
      <c r="D169">
        <f t="shared" si="65"/>
        <v>4229.2437691545156</v>
      </c>
      <c r="E169">
        <f t="shared" si="61"/>
        <v>0</v>
      </c>
      <c r="F169">
        <f t="shared" si="62"/>
        <v>2</v>
      </c>
      <c r="G169" s="60">
        <f t="shared" si="55"/>
        <v>9.0316823590641668</v>
      </c>
      <c r="H169">
        <v>2</v>
      </c>
      <c r="I169" s="60">
        <f t="shared" si="56"/>
        <v>4.5158411795320834</v>
      </c>
      <c r="J169" s="60">
        <f t="shared" si="57"/>
        <v>2000.0000000000002</v>
      </c>
      <c r="K169" s="61">
        <f t="shared" si="66"/>
        <v>160.27439326239823</v>
      </c>
      <c r="L169">
        <f t="shared" si="67"/>
        <v>29.400000000000002</v>
      </c>
      <c r="M169" s="60">
        <f t="shared" si="68"/>
        <v>130.86453180439449</v>
      </c>
      <c r="N169">
        <f t="shared" si="69"/>
        <v>0</v>
      </c>
      <c r="O169" s="60">
        <f t="shared" si="63"/>
        <v>160.26453180439449</v>
      </c>
      <c r="P169" s="60">
        <f t="shared" si="64"/>
        <v>9.8614580037406085E-3</v>
      </c>
      <c r="Q169" s="60">
        <f t="shared" si="70"/>
        <v>6.5743053358270721E-5</v>
      </c>
    </row>
    <row r="170" spans="1:17" x14ac:dyDescent="0.25">
      <c r="A170">
        <f t="shared" si="58"/>
        <v>84</v>
      </c>
      <c r="B170" s="60">
        <f t="shared" si="60"/>
        <v>23.709372352716986</v>
      </c>
      <c r="C170" s="62">
        <f t="shared" si="59"/>
        <v>85.353740469781158</v>
      </c>
      <c r="D170">
        <f t="shared" si="65"/>
        <v>4229.2496327383369</v>
      </c>
      <c r="E170">
        <f t="shared" si="61"/>
        <v>0</v>
      </c>
      <c r="F170">
        <f t="shared" si="62"/>
        <v>2</v>
      </c>
      <c r="G170" s="60">
        <f t="shared" si="55"/>
        <v>9.0316698372148636</v>
      </c>
      <c r="H170">
        <v>2</v>
      </c>
      <c r="I170" s="60">
        <f t="shared" si="56"/>
        <v>4.5158349186074318</v>
      </c>
      <c r="J170" s="60">
        <f t="shared" si="57"/>
        <v>1999.9999999999998</v>
      </c>
      <c r="K170" s="61">
        <f t="shared" si="66"/>
        <v>160.27417105221417</v>
      </c>
      <c r="L170">
        <f t="shared" si="67"/>
        <v>29.400000000000002</v>
      </c>
      <c r="M170" s="60">
        <f t="shared" si="68"/>
        <v>130.86489467573759</v>
      </c>
      <c r="N170">
        <f t="shared" si="69"/>
        <v>0</v>
      </c>
      <c r="O170" s="60">
        <f t="shared" si="63"/>
        <v>160.26489467573759</v>
      </c>
      <c r="P170" s="60">
        <f t="shared" si="64"/>
        <v>9.2763764765777523E-3</v>
      </c>
      <c r="Q170" s="60">
        <f t="shared" si="70"/>
        <v>6.1842509843851689E-5</v>
      </c>
    </row>
    <row r="171" spans="1:17" x14ac:dyDescent="0.25">
      <c r="A171">
        <f t="shared" si="58"/>
        <v>84.5</v>
      </c>
      <c r="B171" s="60">
        <f t="shared" si="60"/>
        <v>23.709403273971908</v>
      </c>
      <c r="C171" s="62">
        <f t="shared" si="59"/>
        <v>85.353851786298875</v>
      </c>
      <c r="D171">
        <f t="shared" si="65"/>
        <v>4229.2551484350024</v>
      </c>
      <c r="E171">
        <f t="shared" si="61"/>
        <v>0</v>
      </c>
      <c r="F171">
        <f t="shared" si="62"/>
        <v>2</v>
      </c>
      <c r="G171" s="60">
        <f t="shared" si="55"/>
        <v>9.0316580583201294</v>
      </c>
      <c r="H171">
        <v>2</v>
      </c>
      <c r="I171" s="60">
        <f t="shared" si="56"/>
        <v>4.5158290291600647</v>
      </c>
      <c r="J171" s="60">
        <f t="shared" si="57"/>
        <v>2000</v>
      </c>
      <c r="K171" s="61">
        <f t="shared" si="66"/>
        <v>160.27396202635032</v>
      </c>
      <c r="L171">
        <f t="shared" si="67"/>
        <v>29.400000000000002</v>
      </c>
      <c r="M171" s="60">
        <f t="shared" si="68"/>
        <v>130.86523601833807</v>
      </c>
      <c r="N171">
        <f t="shared" si="69"/>
        <v>0</v>
      </c>
      <c r="O171" s="60">
        <f t="shared" si="63"/>
        <v>160.26523601833807</v>
      </c>
      <c r="P171" s="60">
        <f t="shared" si="64"/>
        <v>8.7260080122462114E-3</v>
      </c>
      <c r="Q171" s="60">
        <f t="shared" si="70"/>
        <v>5.8173386748308075E-5</v>
      </c>
    </row>
    <row r="172" spans="1:17" x14ac:dyDescent="0.25">
      <c r="A172">
        <f t="shared" si="58"/>
        <v>85</v>
      </c>
      <c r="B172" s="60">
        <f t="shared" ref="B172:B180" si="71">B171+(Q171*(A172-A171))</f>
        <v>23.709432360665282</v>
      </c>
      <c r="C172" s="62">
        <f t="shared" si="59"/>
        <v>85.353956498395021</v>
      </c>
      <c r="D172">
        <f t="shared" si="65"/>
        <v>4229.2603368847613</v>
      </c>
      <c r="E172">
        <f t="shared" ref="E172:E180" si="72">E171</f>
        <v>0</v>
      </c>
      <c r="F172">
        <f t="shared" ref="F172:F180" si="73">F171</f>
        <v>2</v>
      </c>
      <c r="G172" s="60">
        <f t="shared" si="55"/>
        <v>9.0316469782965925</v>
      </c>
      <c r="H172">
        <v>2</v>
      </c>
      <c r="I172" s="60">
        <f t="shared" si="56"/>
        <v>4.5158234891482962</v>
      </c>
      <c r="J172" s="60">
        <f t="shared" si="57"/>
        <v>2000</v>
      </c>
      <c r="K172" s="61">
        <f t="shared" si="66"/>
        <v>160.27376540251225</v>
      </c>
      <c r="L172">
        <f t="shared" si="67"/>
        <v>29.400000000000002</v>
      </c>
      <c r="M172" s="60">
        <f t="shared" si="68"/>
        <v>130.86555710944981</v>
      </c>
      <c r="N172">
        <f t="shared" si="69"/>
        <v>0</v>
      </c>
      <c r="O172" s="60">
        <f t="shared" ref="O172:O180" si="74">L172+M172+N172</f>
        <v>160.26555710944982</v>
      </c>
      <c r="P172" s="60">
        <f t="shared" ref="P172:P180" si="75">K172-O172</f>
        <v>8.2082930624380879E-3</v>
      </c>
      <c r="Q172" s="60">
        <f t="shared" si="70"/>
        <v>5.4721953749587255E-5</v>
      </c>
    </row>
    <row r="173" spans="1:17" x14ac:dyDescent="0.25">
      <c r="A173">
        <f t="shared" si="58"/>
        <v>85.5</v>
      </c>
      <c r="B173" s="60">
        <f t="shared" si="71"/>
        <v>23.709459721642158</v>
      </c>
      <c r="C173" s="62">
        <f t="shared" si="59"/>
        <v>85.354054997911774</v>
      </c>
      <c r="D173">
        <f t="shared" si="65"/>
        <v>4229.2652175032645</v>
      </c>
      <c r="E173">
        <f t="shared" si="72"/>
        <v>0</v>
      </c>
      <c r="F173">
        <f t="shared" si="73"/>
        <v>2</v>
      </c>
      <c r="G173" s="60">
        <f t="shared" si="55"/>
        <v>9.0316365556768012</v>
      </c>
      <c r="H173">
        <v>2</v>
      </c>
      <c r="I173" s="60">
        <f t="shared" si="56"/>
        <v>4.5158182778384006</v>
      </c>
      <c r="J173" s="60">
        <f t="shared" si="57"/>
        <v>2000</v>
      </c>
      <c r="K173" s="61">
        <f t="shared" si="66"/>
        <v>160.27358044482702</v>
      </c>
      <c r="L173">
        <f t="shared" si="67"/>
        <v>29.400000000000002</v>
      </c>
      <c r="M173" s="60">
        <f t="shared" si="68"/>
        <v>130.86585915055255</v>
      </c>
      <c r="N173">
        <f t="shared" si="69"/>
        <v>0</v>
      </c>
      <c r="O173" s="60">
        <f t="shared" si="74"/>
        <v>160.26585915055256</v>
      </c>
      <c r="P173" s="60">
        <f t="shared" si="75"/>
        <v>7.7212942744608881E-3</v>
      </c>
      <c r="Q173" s="60">
        <f t="shared" si="70"/>
        <v>5.147529516307259E-5</v>
      </c>
    </row>
    <row r="174" spans="1:17" x14ac:dyDescent="0.25">
      <c r="A174">
        <f t="shared" si="58"/>
        <v>86</v>
      </c>
      <c r="B174" s="60">
        <f t="shared" si="71"/>
        <v>23.709485459289741</v>
      </c>
      <c r="C174" s="62">
        <f t="shared" si="59"/>
        <v>85.354147653443064</v>
      </c>
      <c r="D174">
        <f t="shared" si="65"/>
        <v>4229.2698085542197</v>
      </c>
      <c r="E174">
        <f t="shared" si="72"/>
        <v>0</v>
      </c>
      <c r="F174">
        <f t="shared" si="73"/>
        <v>2</v>
      </c>
      <c r="G174" s="60">
        <f t="shared" si="55"/>
        <v>9.031626751453965</v>
      </c>
      <c r="H174">
        <v>2</v>
      </c>
      <c r="I174" s="60">
        <f t="shared" si="56"/>
        <v>4.5158133757269825</v>
      </c>
      <c r="J174" s="60">
        <f t="shared" si="57"/>
        <v>1999.9999999999998</v>
      </c>
      <c r="K174" s="61">
        <f t="shared" si="66"/>
        <v>160.27340646108797</v>
      </c>
      <c r="L174">
        <f t="shared" si="67"/>
        <v>29.400000000000002</v>
      </c>
      <c r="M174" s="60">
        <f t="shared" si="68"/>
        <v>130.86614327184685</v>
      </c>
      <c r="N174">
        <f t="shared" si="69"/>
        <v>0</v>
      </c>
      <c r="O174" s="60">
        <f t="shared" si="74"/>
        <v>160.26614327184686</v>
      </c>
      <c r="P174" s="60">
        <f t="shared" si="75"/>
        <v>7.2631892411152421E-3</v>
      </c>
      <c r="Q174" s="60">
        <f t="shared" si="70"/>
        <v>4.842126160743495E-5</v>
      </c>
    </row>
    <row r="175" spans="1:17" x14ac:dyDescent="0.25">
      <c r="A175">
        <f t="shared" si="58"/>
        <v>86.5</v>
      </c>
      <c r="B175" s="60">
        <f t="shared" si="71"/>
        <v>23.709509669920546</v>
      </c>
      <c r="C175" s="62">
        <f t="shared" si="59"/>
        <v>85.354234811713965</v>
      </c>
      <c r="D175">
        <f t="shared" si="65"/>
        <v>4229.2741272177391</v>
      </c>
      <c r="E175">
        <f t="shared" si="72"/>
        <v>0</v>
      </c>
      <c r="F175">
        <f t="shared" si="73"/>
        <v>2</v>
      </c>
      <c r="G175" s="60">
        <f t="shared" si="55"/>
        <v>9.0316175289359162</v>
      </c>
      <c r="H175">
        <v>2</v>
      </c>
      <c r="I175" s="60">
        <f t="shared" si="56"/>
        <v>4.5158087644679581</v>
      </c>
      <c r="J175" s="60">
        <f t="shared" si="57"/>
        <v>2000</v>
      </c>
      <c r="K175" s="61">
        <f t="shared" si="66"/>
        <v>160.27324280016347</v>
      </c>
      <c r="L175">
        <f t="shared" si="67"/>
        <v>29.400000000000002</v>
      </c>
      <c r="M175" s="60">
        <f t="shared" si="68"/>
        <v>130.86641053648259</v>
      </c>
      <c r="N175">
        <f t="shared" si="69"/>
        <v>0</v>
      </c>
      <c r="O175" s="60">
        <f t="shared" si="74"/>
        <v>160.2664105364826</v>
      </c>
      <c r="P175" s="60">
        <f t="shared" si="75"/>
        <v>6.8322636808773041E-3</v>
      </c>
      <c r="Q175" s="60">
        <f t="shared" si="70"/>
        <v>4.5548424539182026E-5</v>
      </c>
    </row>
    <row r="176" spans="1:17" x14ac:dyDescent="0.25">
      <c r="A176">
        <f t="shared" si="58"/>
        <v>87</v>
      </c>
      <c r="B176" s="60">
        <f t="shared" si="71"/>
        <v>23.709532444132815</v>
      </c>
      <c r="C176" s="62">
        <f t="shared" si="59"/>
        <v>85.354316798878131</v>
      </c>
      <c r="D176">
        <f t="shared" si="65"/>
        <v>4229.2781896546285</v>
      </c>
      <c r="E176">
        <f t="shared" si="72"/>
        <v>0</v>
      </c>
      <c r="F176">
        <f t="shared" si="73"/>
        <v>2</v>
      </c>
      <c r="G176" s="60">
        <f t="shared" si="55"/>
        <v>9.0316088536077466</v>
      </c>
      <c r="H176">
        <v>2</v>
      </c>
      <c r="I176" s="60">
        <f t="shared" si="56"/>
        <v>4.5158044268038733</v>
      </c>
      <c r="J176" s="60">
        <f t="shared" si="57"/>
        <v>2000</v>
      </c>
      <c r="K176" s="61">
        <f t="shared" si="66"/>
        <v>160.273088849559</v>
      </c>
      <c r="L176">
        <f t="shared" si="67"/>
        <v>29.400000000000002</v>
      </c>
      <c r="M176" s="60">
        <f t="shared" si="68"/>
        <v>130.86666194453659</v>
      </c>
      <c r="N176">
        <f t="shared" si="69"/>
        <v>0</v>
      </c>
      <c r="O176" s="60">
        <f t="shared" si="74"/>
        <v>160.26666194453659</v>
      </c>
      <c r="P176" s="60">
        <f t="shared" si="75"/>
        <v>6.4269050224083912E-3</v>
      </c>
      <c r="Q176" s="60">
        <f t="shared" si="70"/>
        <v>4.2846033482722606E-5</v>
      </c>
    </row>
    <row r="177" spans="1:17" x14ac:dyDescent="0.25">
      <c r="A177">
        <f t="shared" si="58"/>
        <v>87.5</v>
      </c>
      <c r="B177" s="60">
        <f t="shared" si="71"/>
        <v>23.709553867149555</v>
      </c>
      <c r="C177" s="62">
        <f t="shared" si="59"/>
        <v>85.354393921738406</v>
      </c>
      <c r="D177">
        <f t="shared" si="65"/>
        <v>4229.2820110668672</v>
      </c>
      <c r="E177">
        <f t="shared" si="72"/>
        <v>0</v>
      </c>
      <c r="F177">
        <f t="shared" si="73"/>
        <v>2</v>
      </c>
      <c r="G177" s="60">
        <f t="shared" si="55"/>
        <v>9.0316006930025843</v>
      </c>
      <c r="H177">
        <v>2</v>
      </c>
      <c r="I177" s="60">
        <f t="shared" si="56"/>
        <v>4.5158003465012921</v>
      </c>
      <c r="J177" s="60">
        <f t="shared" si="57"/>
        <v>1999.9999999999998</v>
      </c>
      <c r="K177" s="61">
        <f t="shared" si="66"/>
        <v>160.27294403312402</v>
      </c>
      <c r="L177">
        <f t="shared" si="67"/>
        <v>29.400000000000002</v>
      </c>
      <c r="M177" s="60">
        <f t="shared" si="68"/>
        <v>130.86689843675447</v>
      </c>
      <c r="N177">
        <f t="shared" si="69"/>
        <v>0</v>
      </c>
      <c r="O177" s="60">
        <f t="shared" si="74"/>
        <v>160.26689843675447</v>
      </c>
      <c r="P177" s="60">
        <f t="shared" si="75"/>
        <v>6.0455963695460468E-3</v>
      </c>
      <c r="Q177" s="60">
        <f t="shared" si="70"/>
        <v>4.0303975796973643E-5</v>
      </c>
    </row>
    <row r="178" spans="1:17" x14ac:dyDescent="0.25">
      <c r="A178">
        <f t="shared" si="58"/>
        <v>88</v>
      </c>
      <c r="B178" s="60">
        <f t="shared" si="71"/>
        <v>23.709574019137452</v>
      </c>
      <c r="C178" s="62">
        <f t="shared" si="59"/>
        <v>85.354466468894827</v>
      </c>
      <c r="D178">
        <f t="shared" si="65"/>
        <v>4229.2856057544932</v>
      </c>
      <c r="E178">
        <f t="shared" si="72"/>
        <v>0</v>
      </c>
      <c r="F178">
        <f t="shared" si="73"/>
        <v>2</v>
      </c>
      <c r="G178" s="60">
        <f t="shared" si="55"/>
        <v>9.031593016580068</v>
      </c>
      <c r="H178">
        <v>2</v>
      </c>
      <c r="I178" s="60">
        <f t="shared" si="56"/>
        <v>4.515796508290034</v>
      </c>
      <c r="J178" s="60">
        <f t="shared" si="57"/>
        <v>2000</v>
      </c>
      <c r="K178" s="61">
        <f t="shared" si="66"/>
        <v>160.27280780889555</v>
      </c>
      <c r="L178">
        <f t="shared" si="67"/>
        <v>29.400000000000002</v>
      </c>
      <c r="M178" s="60">
        <f t="shared" si="68"/>
        <v>130.8671208980702</v>
      </c>
      <c r="N178">
        <f t="shared" si="69"/>
        <v>0</v>
      </c>
      <c r="O178" s="60">
        <f t="shared" si="74"/>
        <v>160.2671208980702</v>
      </c>
      <c r="P178" s="60">
        <f t="shared" si="75"/>
        <v>5.6869108253465583E-3</v>
      </c>
      <c r="Q178" s="60">
        <f t="shared" si="70"/>
        <v>3.791273883564372E-5</v>
      </c>
    </row>
    <row r="179" spans="1:17" x14ac:dyDescent="0.25">
      <c r="A179">
        <f t="shared" si="58"/>
        <v>88.5</v>
      </c>
      <c r="B179" s="60">
        <f t="shared" si="71"/>
        <v>23.709592975506869</v>
      </c>
      <c r="C179" s="62">
        <f t="shared" si="59"/>
        <v>85.354534711824726</v>
      </c>
      <c r="D179">
        <f t="shared" si="65"/>
        <v>4229.2889871691168</v>
      </c>
      <c r="E179">
        <f t="shared" si="72"/>
        <v>0</v>
      </c>
      <c r="F179">
        <f t="shared" si="73"/>
        <v>2</v>
      </c>
      <c r="G179" s="60">
        <f t="shared" si="55"/>
        <v>9.0315857956120063</v>
      </c>
      <c r="H179">
        <v>2</v>
      </c>
      <c r="I179" s="60">
        <f t="shared" si="56"/>
        <v>4.5157928978060031</v>
      </c>
      <c r="J179" s="60">
        <f t="shared" si="57"/>
        <v>2000</v>
      </c>
      <c r="K179" s="61">
        <f t="shared" si="66"/>
        <v>160.27267966706893</v>
      </c>
      <c r="L179">
        <f t="shared" si="67"/>
        <v>29.400000000000002</v>
      </c>
      <c r="M179" s="60">
        <f t="shared" si="68"/>
        <v>130.86733016091716</v>
      </c>
      <c r="N179">
        <f t="shared" si="69"/>
        <v>0</v>
      </c>
      <c r="O179" s="60">
        <f t="shared" si="74"/>
        <v>160.26733016091717</v>
      </c>
      <c r="P179" s="60">
        <f t="shared" si="75"/>
        <v>5.3495061517594422E-3</v>
      </c>
      <c r="Q179" s="60">
        <f t="shared" si="70"/>
        <v>3.5663374345062951E-5</v>
      </c>
    </row>
    <row r="180" spans="1:17" x14ac:dyDescent="0.25">
      <c r="A180">
        <f t="shared" si="58"/>
        <v>89</v>
      </c>
      <c r="B180" s="60">
        <f t="shared" si="71"/>
        <v>23.709610807194043</v>
      </c>
      <c r="C180" s="62">
        <f t="shared" si="59"/>
        <v>85.354598905898555</v>
      </c>
      <c r="D180">
        <f t="shared" si="65"/>
        <v>4229.2921679642604</v>
      </c>
      <c r="E180">
        <f t="shared" si="72"/>
        <v>0</v>
      </c>
      <c r="F180">
        <f t="shared" si="73"/>
        <v>2</v>
      </c>
      <c r="G180" s="60">
        <f t="shared" si="55"/>
        <v>9.0315790030748389</v>
      </c>
      <c r="H180">
        <v>2</v>
      </c>
      <c r="I180" s="60">
        <f t="shared" si="56"/>
        <v>4.5157895015374194</v>
      </c>
      <c r="J180" s="60">
        <f t="shared" si="57"/>
        <v>2000</v>
      </c>
      <c r="K180" s="61">
        <f t="shared" si="66"/>
        <v>160.2725591280896</v>
      </c>
      <c r="L180">
        <f t="shared" si="67"/>
        <v>29.400000000000002</v>
      </c>
      <c r="M180" s="60">
        <f t="shared" si="68"/>
        <v>130.86752700834282</v>
      </c>
      <c r="N180">
        <f t="shared" si="69"/>
        <v>0</v>
      </c>
      <c r="O180" s="60">
        <f t="shared" si="74"/>
        <v>160.26752700834282</v>
      </c>
      <c r="P180" s="60">
        <f t="shared" si="75"/>
        <v>5.0321197467724232E-3</v>
      </c>
      <c r="Q180" s="60">
        <f t="shared" si="70"/>
        <v>3.3547464978482823E-5</v>
      </c>
    </row>
    <row r="181" spans="1:17" x14ac:dyDescent="0.25">
      <c r="A181">
        <f t="shared" si="58"/>
        <v>89.5</v>
      </c>
      <c r="B181" s="60">
        <f t="shared" ref="B181:B182" si="76">B180+(Q180*(A181-A180))</f>
        <v>23.709627580926533</v>
      </c>
      <c r="C181" s="62">
        <f t="shared" si="59"/>
        <v>85.354659291335523</v>
      </c>
      <c r="D181">
        <f t="shared" si="65"/>
        <v>4229.2951600427059</v>
      </c>
      <c r="E181">
        <f t="shared" ref="E181:E182" si="77">E180</f>
        <v>0</v>
      </c>
      <c r="F181">
        <f t="shared" ref="F181:F182" si="78">F180</f>
        <v>2</v>
      </c>
      <c r="G181" s="60">
        <f t="shared" si="55"/>
        <v>9.0315726135484891</v>
      </c>
      <c r="H181">
        <v>2</v>
      </c>
      <c r="I181" s="60">
        <f t="shared" si="56"/>
        <v>4.5157863067742445</v>
      </c>
      <c r="J181" s="60">
        <f t="shared" si="57"/>
        <v>1999.9999999999998</v>
      </c>
      <c r="K181" s="61">
        <f t="shared" si="66"/>
        <v>160.27244574085805</v>
      </c>
      <c r="L181">
        <f t="shared" si="67"/>
        <v>29.400000000000002</v>
      </c>
      <c r="M181" s="60">
        <f t="shared" si="68"/>
        <v>130.86771217693828</v>
      </c>
      <c r="N181">
        <f t="shared" si="69"/>
        <v>0</v>
      </c>
      <c r="O181" s="60">
        <f t="shared" ref="O181:O182" si="79">L181+M181+N181</f>
        <v>160.26771217693829</v>
      </c>
      <c r="P181" s="60">
        <f t="shared" ref="P181:P182" si="80">K181-O181</f>
        <v>4.733563919756989E-3</v>
      </c>
      <c r="Q181" s="60">
        <f t="shared" si="70"/>
        <v>3.1557092798379925E-5</v>
      </c>
    </row>
    <row r="182" spans="1:17" x14ac:dyDescent="0.25">
      <c r="A182">
        <f t="shared" si="58"/>
        <v>90</v>
      </c>
      <c r="B182" s="60">
        <f t="shared" si="76"/>
        <v>23.709643359472931</v>
      </c>
      <c r="C182" s="62">
        <f t="shared" si="59"/>
        <v>85.354716094102557</v>
      </c>
      <c r="D182">
        <f t="shared" si="65"/>
        <v>4229.2979746010406</v>
      </c>
      <c r="E182">
        <f t="shared" si="77"/>
        <v>0</v>
      </c>
      <c r="F182">
        <f t="shared" si="78"/>
        <v>2</v>
      </c>
      <c r="G182" s="60">
        <f t="shared" si="55"/>
        <v>9.0315666031211972</v>
      </c>
      <c r="H182">
        <v>2</v>
      </c>
      <c r="I182" s="60">
        <f t="shared" si="56"/>
        <v>4.5157833015605986</v>
      </c>
      <c r="J182" s="60">
        <f t="shared" si="57"/>
        <v>1999.9999999999998</v>
      </c>
      <c r="K182" s="61">
        <f t="shared" si="66"/>
        <v>160.27233908104108</v>
      </c>
      <c r="L182">
        <f t="shared" si="67"/>
        <v>29.400000000000002</v>
      </c>
      <c r="M182" s="60">
        <f t="shared" si="68"/>
        <v>130.86788635959456</v>
      </c>
      <c r="N182">
        <f t="shared" si="69"/>
        <v>0</v>
      </c>
      <c r="O182" s="60">
        <f t="shared" si="79"/>
        <v>160.26788635959457</v>
      </c>
      <c r="P182" s="60">
        <f t="shared" si="80"/>
        <v>4.4527214465119869E-3</v>
      </c>
      <c r="Q182" s="60">
        <f t="shared" si="70"/>
        <v>2.9684809643413246E-5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5A19-15FF-4774-A18E-2AD151F1AA72}">
  <dimension ref="A1:T182"/>
  <sheetViews>
    <sheetView topLeftCell="B1" zoomScale="90" zoomScaleNormal="90" workbookViewId="0">
      <selection activeCell="J16" sqref="J16"/>
    </sheetView>
  </sheetViews>
  <sheetFormatPr defaultRowHeight="15" x14ac:dyDescent="0.25"/>
  <cols>
    <col min="9" max="9" width="10.28515625" customWidth="1"/>
    <col min="10" max="10" width="14.28515625" customWidth="1"/>
    <col min="14" max="15" width="11.28515625" customWidth="1"/>
    <col min="16" max="16" width="11.7109375" customWidth="1"/>
  </cols>
  <sheetData>
    <row r="1" spans="1:20" s="59" customFormat="1" ht="75" x14ac:dyDescent="0.25">
      <c r="A1" s="59" t="s">
        <v>123</v>
      </c>
      <c r="B1" s="59" t="s">
        <v>124</v>
      </c>
      <c r="C1" s="59" t="s">
        <v>125</v>
      </c>
      <c r="D1" s="59" t="s">
        <v>126</v>
      </c>
      <c r="E1" s="59" t="s">
        <v>108</v>
      </c>
      <c r="F1" s="59" t="s">
        <v>127</v>
      </c>
      <c r="G1" s="59" t="s">
        <v>128</v>
      </c>
      <c r="H1" s="59" t="s">
        <v>129</v>
      </c>
      <c r="I1" s="59" t="s">
        <v>130</v>
      </c>
      <c r="J1" s="59" t="s">
        <v>132</v>
      </c>
      <c r="K1" s="59" t="s">
        <v>133</v>
      </c>
      <c r="L1" s="59" t="s">
        <v>134</v>
      </c>
      <c r="M1" s="59" t="s">
        <v>135</v>
      </c>
      <c r="N1" s="59" t="s">
        <v>136</v>
      </c>
      <c r="O1" s="59" t="s">
        <v>137</v>
      </c>
      <c r="P1" s="59" t="s">
        <v>138</v>
      </c>
    </row>
    <row r="2" spans="1:20" x14ac:dyDescent="0.25">
      <c r="A2">
        <v>0</v>
      </c>
      <c r="B2" s="60">
        <v>0</v>
      </c>
      <c r="C2">
        <f>B2*3.6</f>
        <v>0</v>
      </c>
      <c r="D2">
        <f t="shared" ref="D2:D65" si="0">(C2*GearRatio)/(2*PI()*WheelRadius*0.001*60)</f>
        <v>0</v>
      </c>
      <c r="E2" s="59">
        <v>60</v>
      </c>
      <c r="F2">
        <v>2</v>
      </c>
      <c r="G2" s="60">
        <f>IF((F2=2),(IF((D2&lt;2000),(52*2),((2*11000*60)/(2*PI()*D2)))),(IF((D2&lt;2000),(30*2),((2*6000*60)/(2*PI()*D2)))))</f>
        <v>104</v>
      </c>
      <c r="H2">
        <v>2</v>
      </c>
      <c r="I2" s="60">
        <f>G2/H2</f>
        <v>52</v>
      </c>
      <c r="J2" s="61">
        <f t="shared" ref="J2:J65" si="1">(G2*GearRatio*GearEfficency)/WheelRadius</f>
        <v>1845.5627906976742</v>
      </c>
      <c r="K2">
        <f t="shared" ref="K2:K65" si="2">Froll</f>
        <v>29.400000000000002</v>
      </c>
      <c r="L2" s="60">
        <f t="shared" ref="L2:L65" si="3">Cd*Density*Area*C2*C2*0.03858025308642</f>
        <v>0</v>
      </c>
      <c r="M2">
        <f t="shared" ref="M2:M65" si="4">(KerbWeight+LoadWeight)*9.8*SIN(E2*0.01745329)</f>
        <v>1273.0572324336108</v>
      </c>
      <c r="N2" s="60">
        <f>K2+L2+M2</f>
        <v>1302.4572324336109</v>
      </c>
      <c r="O2" s="60">
        <f>J2-N2</f>
        <v>543.10555826406335</v>
      </c>
      <c r="P2" s="60">
        <f t="shared" ref="P2:P65" si="5">O2/(KerbWeight+LoadWeight)</f>
        <v>3.6207037217604223</v>
      </c>
      <c r="S2" t="s">
        <v>139</v>
      </c>
    </row>
    <row r="3" spans="1:20" x14ac:dyDescent="0.25">
      <c r="A3">
        <v>1</v>
      </c>
      <c r="B3" s="60">
        <f>B2+(P2*(A3-A2))</f>
        <v>3.6207037217604223</v>
      </c>
      <c r="C3" s="62">
        <f>B3*3.6</f>
        <v>13.034533398337521</v>
      </c>
      <c r="D3">
        <f t="shared" si="0"/>
        <v>645.85682226019833</v>
      </c>
      <c r="E3">
        <f>E2</f>
        <v>60</v>
      </c>
      <c r="F3">
        <f>F2</f>
        <v>2</v>
      </c>
      <c r="G3" s="60">
        <f t="shared" ref="G3:G66" si="6">IF((F3=2),(IF((D3&lt;2000),(52*2),((2*11000*60)/(2*PI()*D3)))),(IF((D3&lt;2000),(30*2),((2*6000*60)/(2*PI()*D3)))))</f>
        <v>104</v>
      </c>
      <c r="H3">
        <v>2</v>
      </c>
      <c r="I3" s="60">
        <f t="shared" ref="I3:I66" si="7">G3/H3</f>
        <v>52</v>
      </c>
      <c r="J3" s="61">
        <f t="shared" si="1"/>
        <v>1845.5627906976742</v>
      </c>
      <c r="K3">
        <f t="shared" si="2"/>
        <v>29.400000000000002</v>
      </c>
      <c r="L3" s="60">
        <f t="shared" si="3"/>
        <v>3.0518910269137089</v>
      </c>
      <c r="M3">
        <f t="shared" si="4"/>
        <v>1273.0572324336108</v>
      </c>
      <c r="N3" s="60">
        <f>K3+L3+M3</f>
        <v>1305.5091234605245</v>
      </c>
      <c r="O3" s="60">
        <f>J3-N3</f>
        <v>540.05366723714974</v>
      </c>
      <c r="P3" s="60">
        <f t="shared" si="5"/>
        <v>3.6003577815809984</v>
      </c>
    </row>
    <row r="4" spans="1:20" x14ac:dyDescent="0.25">
      <c r="A4">
        <v>2</v>
      </c>
      <c r="B4" s="60">
        <f t="shared" ref="B4:B67" si="8">B3+(P3*(A4-A3))</f>
        <v>7.2210615033414207</v>
      </c>
      <c r="C4" s="62">
        <f t="shared" ref="C4:C67" si="9">B4*3.6</f>
        <v>25.995821412029116</v>
      </c>
      <c r="D4">
        <f t="shared" si="0"/>
        <v>1288.0843599171844</v>
      </c>
      <c r="E4">
        <f t="shared" ref="E4:F19" si="10">E3</f>
        <v>60</v>
      </c>
      <c r="F4">
        <f t="shared" si="10"/>
        <v>2</v>
      </c>
      <c r="G4" s="60">
        <f t="shared" si="6"/>
        <v>104</v>
      </c>
      <c r="H4">
        <v>2</v>
      </c>
      <c r="I4" s="60">
        <f t="shared" si="7"/>
        <v>52</v>
      </c>
      <c r="J4" s="61">
        <f t="shared" si="1"/>
        <v>1845.5627906976742</v>
      </c>
      <c r="K4">
        <f t="shared" si="2"/>
        <v>29.400000000000002</v>
      </c>
      <c r="L4" s="60">
        <f t="shared" si="3"/>
        <v>12.139062108166891</v>
      </c>
      <c r="M4">
        <f t="shared" si="4"/>
        <v>1273.0572324336108</v>
      </c>
      <c r="N4" s="60">
        <f t="shared" ref="N4:N67" si="11">K4+L4+M4</f>
        <v>1314.5962945417778</v>
      </c>
      <c r="O4" s="60">
        <f t="shared" ref="O4:O67" si="12">J4-N4</f>
        <v>530.96649615589649</v>
      </c>
      <c r="P4" s="60">
        <f t="shared" si="5"/>
        <v>3.5397766410393099</v>
      </c>
      <c r="S4">
        <v>0.592889</v>
      </c>
      <c r="T4">
        <f>S4*3.6</f>
        <v>2.1344004000000001</v>
      </c>
    </row>
    <row r="5" spans="1:20" x14ac:dyDescent="0.25">
      <c r="A5">
        <v>3</v>
      </c>
      <c r="B5" s="60">
        <f t="shared" si="8"/>
        <v>10.760838144380731</v>
      </c>
      <c r="C5" s="62">
        <f t="shared" si="9"/>
        <v>38.739017319770632</v>
      </c>
      <c r="D5">
        <f t="shared" si="0"/>
        <v>1919.5055057990021</v>
      </c>
      <c r="E5">
        <f t="shared" si="10"/>
        <v>60</v>
      </c>
      <c r="F5">
        <f t="shared" si="10"/>
        <v>2</v>
      </c>
      <c r="G5" s="60">
        <f t="shared" si="6"/>
        <v>104</v>
      </c>
      <c r="H5">
        <v>2</v>
      </c>
      <c r="I5" s="60">
        <f t="shared" si="7"/>
        <v>52</v>
      </c>
      <c r="J5" s="61">
        <f t="shared" si="1"/>
        <v>1845.5627906976742</v>
      </c>
      <c r="K5">
        <f t="shared" si="2"/>
        <v>29.400000000000002</v>
      </c>
      <c r="L5" s="60">
        <f t="shared" si="3"/>
        <v>26.957228739349492</v>
      </c>
      <c r="M5">
        <f t="shared" si="4"/>
        <v>1273.0572324336108</v>
      </c>
      <c r="N5" s="60">
        <f t="shared" si="11"/>
        <v>1329.4144611729603</v>
      </c>
      <c r="O5" s="60">
        <f t="shared" si="12"/>
        <v>516.14832952471397</v>
      </c>
      <c r="P5" s="60">
        <f t="shared" si="5"/>
        <v>3.440988863498093</v>
      </c>
    </row>
    <row r="6" spans="1:20" x14ac:dyDescent="0.25">
      <c r="A6">
        <v>4</v>
      </c>
      <c r="B6" s="60">
        <f t="shared" si="8"/>
        <v>14.201827007878824</v>
      </c>
      <c r="C6" s="62">
        <f t="shared" si="9"/>
        <v>51.126577228363772</v>
      </c>
      <c r="D6">
        <f t="shared" si="0"/>
        <v>2533.3050054529158</v>
      </c>
      <c r="E6">
        <f t="shared" si="10"/>
        <v>60</v>
      </c>
      <c r="F6">
        <f t="shared" si="10"/>
        <v>2</v>
      </c>
      <c r="G6" s="60">
        <f t="shared" si="6"/>
        <v>82.929029244049502</v>
      </c>
      <c r="H6">
        <v>2</v>
      </c>
      <c r="I6" s="60">
        <f t="shared" si="7"/>
        <v>41.464514622024751</v>
      </c>
      <c r="J6" s="61">
        <f t="shared" si="1"/>
        <v>1471.6416407836252</v>
      </c>
      <c r="K6">
        <f t="shared" si="2"/>
        <v>29.400000000000002</v>
      </c>
      <c r="L6" s="60">
        <f t="shared" si="3"/>
        <v>46.953879588827419</v>
      </c>
      <c r="M6">
        <f t="shared" si="4"/>
        <v>1273.0572324336108</v>
      </c>
      <c r="N6" s="60">
        <f t="shared" si="11"/>
        <v>1349.4111120224381</v>
      </c>
      <c r="O6" s="60">
        <f t="shared" si="12"/>
        <v>122.23052876118709</v>
      </c>
      <c r="P6" s="60">
        <f t="shared" si="5"/>
        <v>0.81487019174124731</v>
      </c>
    </row>
    <row r="7" spans="1:20" x14ac:dyDescent="0.25">
      <c r="A7">
        <v>5</v>
      </c>
      <c r="B7" s="60">
        <f t="shared" si="8"/>
        <v>15.016697199620072</v>
      </c>
      <c r="C7" s="62">
        <f t="shared" si="9"/>
        <v>54.060109918632264</v>
      </c>
      <c r="D7">
        <f t="shared" si="0"/>
        <v>2678.6605807875012</v>
      </c>
      <c r="E7">
        <f t="shared" si="10"/>
        <v>60</v>
      </c>
      <c r="F7">
        <f t="shared" si="10"/>
        <v>2</v>
      </c>
      <c r="G7" s="60">
        <f t="shared" si="6"/>
        <v>78.428945566346812</v>
      </c>
      <c r="H7">
        <v>2</v>
      </c>
      <c r="I7" s="60">
        <f t="shared" si="7"/>
        <v>39.214472783173406</v>
      </c>
      <c r="J7" s="61">
        <f t="shared" si="1"/>
        <v>1391.7840735663751</v>
      </c>
      <c r="K7">
        <f t="shared" si="2"/>
        <v>29.400000000000002</v>
      </c>
      <c r="L7" s="60">
        <f t="shared" si="3"/>
        <v>52.496686545434848</v>
      </c>
      <c r="M7">
        <f t="shared" si="4"/>
        <v>1273.0572324336108</v>
      </c>
      <c r="N7" s="60">
        <f t="shared" si="11"/>
        <v>1354.9539189790457</v>
      </c>
      <c r="O7" s="60">
        <f t="shared" si="12"/>
        <v>36.830154587329389</v>
      </c>
      <c r="P7" s="60">
        <f t="shared" si="5"/>
        <v>0.24553436391552927</v>
      </c>
    </row>
    <row r="8" spans="1:20" x14ac:dyDescent="0.25">
      <c r="A8">
        <v>6</v>
      </c>
      <c r="B8" s="60">
        <f t="shared" si="8"/>
        <v>15.262231563535602</v>
      </c>
      <c r="C8" s="62">
        <f t="shared" si="9"/>
        <v>54.944033628728171</v>
      </c>
      <c r="D8">
        <f t="shared" si="0"/>
        <v>2722.4587085053531</v>
      </c>
      <c r="E8">
        <f t="shared" si="10"/>
        <v>60</v>
      </c>
      <c r="F8">
        <f t="shared" si="10"/>
        <v>2</v>
      </c>
      <c r="G8" s="60">
        <f t="shared" si="6"/>
        <v>77.167203390438047</v>
      </c>
      <c r="H8">
        <v>2</v>
      </c>
      <c r="I8" s="60">
        <f t="shared" si="7"/>
        <v>38.583601695219023</v>
      </c>
      <c r="J8" s="61">
        <f t="shared" si="1"/>
        <v>1369.3934542268451</v>
      </c>
      <c r="K8">
        <f t="shared" si="2"/>
        <v>29.400000000000002</v>
      </c>
      <c r="L8" s="60">
        <f t="shared" si="3"/>
        <v>54.227442499592861</v>
      </c>
      <c r="M8">
        <f t="shared" si="4"/>
        <v>1273.0572324336108</v>
      </c>
      <c r="N8" s="60">
        <f t="shared" si="11"/>
        <v>1356.6846749332037</v>
      </c>
      <c r="O8" s="60">
        <f t="shared" si="12"/>
        <v>12.708779293641328</v>
      </c>
      <c r="P8" s="60">
        <f t="shared" si="5"/>
        <v>8.472519529094219E-2</v>
      </c>
      <c r="S8">
        <v>50</v>
      </c>
      <c r="T8">
        <f>(S8*GearRatio)/(2*PI()*WheelRadius*0.001*60)</f>
        <v>2477.4834760965578</v>
      </c>
    </row>
    <row r="9" spans="1:20" x14ac:dyDescent="0.25">
      <c r="A9">
        <v>7</v>
      </c>
      <c r="B9" s="60">
        <f t="shared" si="8"/>
        <v>15.346956758826543</v>
      </c>
      <c r="C9" s="62">
        <f t="shared" si="9"/>
        <v>55.249044331775558</v>
      </c>
      <c r="D9">
        <f t="shared" si="0"/>
        <v>2737.5718880420022</v>
      </c>
      <c r="E9">
        <f t="shared" si="10"/>
        <v>60</v>
      </c>
      <c r="F9">
        <f t="shared" si="10"/>
        <v>2</v>
      </c>
      <c r="G9" s="60">
        <f t="shared" si="6"/>
        <v>76.741190176218879</v>
      </c>
      <c r="H9">
        <v>2</v>
      </c>
      <c r="I9" s="60">
        <f t="shared" si="7"/>
        <v>38.37059508810944</v>
      </c>
      <c r="J9" s="61">
        <f t="shared" si="1"/>
        <v>1361.8335106065717</v>
      </c>
      <c r="K9">
        <f t="shared" si="2"/>
        <v>29.400000000000002</v>
      </c>
      <c r="L9" s="60">
        <f t="shared" si="3"/>
        <v>54.831179006085101</v>
      </c>
      <c r="M9">
        <f t="shared" si="4"/>
        <v>1273.0572324336108</v>
      </c>
      <c r="N9" s="60">
        <f t="shared" si="11"/>
        <v>1357.2884114396959</v>
      </c>
      <c r="O9" s="60">
        <f t="shared" si="12"/>
        <v>4.5450991668758434</v>
      </c>
      <c r="P9" s="60">
        <f t="shared" si="5"/>
        <v>3.0300661112505622E-2</v>
      </c>
      <c r="S9">
        <v>50</v>
      </c>
      <c r="T9">
        <f>(S9*GearRatio)/(2*3.1415*WheelRadius*0.001*60)</f>
        <v>2477.5565455658284</v>
      </c>
    </row>
    <row r="10" spans="1:20" x14ac:dyDescent="0.25">
      <c r="A10">
        <v>8</v>
      </c>
      <c r="B10" s="60">
        <f t="shared" si="8"/>
        <v>15.377257419939049</v>
      </c>
      <c r="C10" s="62">
        <f t="shared" si="9"/>
        <v>55.358126711780578</v>
      </c>
      <c r="D10">
        <f t="shared" si="0"/>
        <v>2742.9768839219169</v>
      </c>
      <c r="E10">
        <f t="shared" si="10"/>
        <v>60</v>
      </c>
      <c r="F10">
        <f t="shared" si="10"/>
        <v>2</v>
      </c>
      <c r="G10" s="60">
        <f t="shared" si="6"/>
        <v>76.589972782024446</v>
      </c>
      <c r="H10">
        <v>2</v>
      </c>
      <c r="I10" s="60">
        <f t="shared" si="7"/>
        <v>38.294986391012223</v>
      </c>
      <c r="J10" s="61">
        <f t="shared" si="1"/>
        <v>1359.1500375678072</v>
      </c>
      <c r="K10">
        <f t="shared" si="2"/>
        <v>29.400000000000002</v>
      </c>
      <c r="L10" s="60">
        <f t="shared" si="3"/>
        <v>55.047907460375754</v>
      </c>
      <c r="M10">
        <f t="shared" si="4"/>
        <v>1273.0572324336108</v>
      </c>
      <c r="N10" s="60">
        <f t="shared" si="11"/>
        <v>1357.5051398939866</v>
      </c>
      <c r="O10" s="60">
        <f t="shared" si="12"/>
        <v>1.6448976738206511</v>
      </c>
      <c r="P10" s="60">
        <f t="shared" si="5"/>
        <v>1.0965984492137674E-2</v>
      </c>
    </row>
    <row r="11" spans="1:20" x14ac:dyDescent="0.25">
      <c r="A11">
        <v>9</v>
      </c>
      <c r="B11" s="60">
        <f t="shared" si="8"/>
        <v>15.388223404431187</v>
      </c>
      <c r="C11" s="62">
        <f t="shared" si="9"/>
        <v>55.397604255952274</v>
      </c>
      <c r="D11">
        <f t="shared" si="0"/>
        <v>2744.9329831891619</v>
      </c>
      <c r="E11">
        <f t="shared" si="10"/>
        <v>60</v>
      </c>
      <c r="F11">
        <f t="shared" si="10"/>
        <v>2</v>
      </c>
      <c r="G11" s="60">
        <f t="shared" si="6"/>
        <v>76.535393092627757</v>
      </c>
      <c r="H11">
        <v>2</v>
      </c>
      <c r="I11" s="60">
        <f t="shared" si="7"/>
        <v>38.267696546313879</v>
      </c>
      <c r="J11" s="61">
        <f t="shared" si="1"/>
        <v>1358.1814775305152</v>
      </c>
      <c r="K11">
        <f t="shared" si="2"/>
        <v>29.400000000000002</v>
      </c>
      <c r="L11" s="60">
        <f t="shared" si="3"/>
        <v>55.126448090233019</v>
      </c>
      <c r="M11">
        <f t="shared" si="4"/>
        <v>1273.0572324336108</v>
      </c>
      <c r="N11" s="60">
        <f t="shared" si="11"/>
        <v>1357.5836805238439</v>
      </c>
      <c r="O11" s="60">
        <f t="shared" si="12"/>
        <v>0.59779700667127145</v>
      </c>
      <c r="P11" s="60">
        <f t="shared" si="5"/>
        <v>3.9853133778084762E-3</v>
      </c>
    </row>
    <row r="12" spans="1:20" x14ac:dyDescent="0.25">
      <c r="A12">
        <v>10</v>
      </c>
      <c r="B12" s="60">
        <f t="shared" si="8"/>
        <v>15.392208717808996</v>
      </c>
      <c r="C12" s="62">
        <f t="shared" si="9"/>
        <v>55.411951384112385</v>
      </c>
      <c r="D12">
        <f t="shared" si="0"/>
        <v>2745.6438786480844</v>
      </c>
      <c r="E12">
        <f t="shared" si="10"/>
        <v>60</v>
      </c>
      <c r="F12">
        <f t="shared" si="10"/>
        <v>2</v>
      </c>
      <c r="G12" s="60">
        <f t="shared" si="6"/>
        <v>76.51557673413366</v>
      </c>
      <c r="H12">
        <v>2</v>
      </c>
      <c r="I12" s="60">
        <f t="shared" si="7"/>
        <v>38.25778836706683</v>
      </c>
      <c r="J12" s="61">
        <f t="shared" si="1"/>
        <v>1357.8298204739397</v>
      </c>
      <c r="K12">
        <f t="shared" si="2"/>
        <v>29.400000000000002</v>
      </c>
      <c r="L12" s="60">
        <f t="shared" si="3"/>
        <v>55.155005593492014</v>
      </c>
      <c r="M12">
        <f t="shared" si="4"/>
        <v>1273.0572324336108</v>
      </c>
      <c r="N12" s="60">
        <f t="shared" si="11"/>
        <v>1357.6122380271029</v>
      </c>
      <c r="O12" s="60">
        <f t="shared" si="12"/>
        <v>0.2175824468367864</v>
      </c>
      <c r="P12" s="60">
        <f t="shared" si="5"/>
        <v>1.450549645578576E-3</v>
      </c>
    </row>
    <row r="13" spans="1:20" x14ac:dyDescent="0.25">
      <c r="A13">
        <v>11</v>
      </c>
      <c r="B13" s="60">
        <f t="shared" si="8"/>
        <v>15.393659267454575</v>
      </c>
      <c r="C13" s="62">
        <f t="shared" si="9"/>
        <v>55.417173362836472</v>
      </c>
      <c r="D13">
        <f t="shared" si="0"/>
        <v>2745.9026259681132</v>
      </c>
      <c r="E13">
        <f t="shared" si="10"/>
        <v>60</v>
      </c>
      <c r="F13">
        <f t="shared" si="10"/>
        <v>2</v>
      </c>
      <c r="G13" s="60">
        <f t="shared" si="6"/>
        <v>76.508366645824921</v>
      </c>
      <c r="H13">
        <v>2</v>
      </c>
      <c r="I13" s="60">
        <f t="shared" si="7"/>
        <v>38.254183322912461</v>
      </c>
      <c r="J13" s="61">
        <f t="shared" si="1"/>
        <v>1357.7018717172066</v>
      </c>
      <c r="K13">
        <f t="shared" si="2"/>
        <v>29.400000000000002</v>
      </c>
      <c r="L13" s="60">
        <f t="shared" si="3"/>
        <v>55.165401612034906</v>
      </c>
      <c r="M13">
        <f t="shared" si="4"/>
        <v>1273.0572324336108</v>
      </c>
      <c r="N13" s="60">
        <f t="shared" si="11"/>
        <v>1357.6226340456458</v>
      </c>
      <c r="O13" s="60">
        <f t="shared" si="12"/>
        <v>7.9237671560804301E-2</v>
      </c>
      <c r="P13" s="60">
        <f t="shared" si="5"/>
        <v>5.282511437386953E-4</v>
      </c>
    </row>
    <row r="14" spans="1:20" x14ac:dyDescent="0.25">
      <c r="A14">
        <v>12</v>
      </c>
      <c r="B14" s="60">
        <f t="shared" si="8"/>
        <v>15.394187518598313</v>
      </c>
      <c r="C14" s="62">
        <f t="shared" si="9"/>
        <v>55.41907506695393</v>
      </c>
      <c r="D14">
        <f t="shared" si="0"/>
        <v>2745.9968547786621</v>
      </c>
      <c r="E14">
        <f t="shared" si="10"/>
        <v>60</v>
      </c>
      <c r="F14">
        <f t="shared" si="10"/>
        <v>2</v>
      </c>
      <c r="G14" s="60">
        <f t="shared" si="6"/>
        <v>76.505741263216223</v>
      </c>
      <c r="H14">
        <v>2</v>
      </c>
      <c r="I14" s="60">
        <f t="shared" si="7"/>
        <v>38.252870631608111</v>
      </c>
      <c r="J14" s="61">
        <f t="shared" si="1"/>
        <v>1357.6552822128417</v>
      </c>
      <c r="K14">
        <f t="shared" si="2"/>
        <v>29.400000000000002</v>
      </c>
      <c r="L14" s="60">
        <f t="shared" si="3"/>
        <v>55.169187805557399</v>
      </c>
      <c r="M14">
        <f t="shared" si="4"/>
        <v>1273.0572324336108</v>
      </c>
      <c r="N14" s="60">
        <f t="shared" si="11"/>
        <v>1357.6264202391683</v>
      </c>
      <c r="O14" s="60">
        <f t="shared" si="12"/>
        <v>2.886197367342902E-2</v>
      </c>
      <c r="P14" s="60">
        <f t="shared" si="5"/>
        <v>1.9241315782286014E-4</v>
      </c>
    </row>
    <row r="15" spans="1:20" x14ac:dyDescent="0.25">
      <c r="A15">
        <v>13</v>
      </c>
      <c r="B15" s="60">
        <f t="shared" si="8"/>
        <v>15.394379931756136</v>
      </c>
      <c r="C15" s="62">
        <f t="shared" si="9"/>
        <v>55.419767754322088</v>
      </c>
      <c r="D15">
        <f t="shared" si="0"/>
        <v>2746.0311772088362</v>
      </c>
      <c r="E15">
        <f t="shared" si="10"/>
        <v>60</v>
      </c>
      <c r="F15">
        <f t="shared" si="10"/>
        <v>2</v>
      </c>
      <c r="G15" s="60">
        <f t="shared" si="6"/>
        <v>76.50478502390466</v>
      </c>
      <c r="H15">
        <v>2</v>
      </c>
      <c r="I15" s="60">
        <f t="shared" si="7"/>
        <v>38.25239251195233</v>
      </c>
      <c r="J15" s="61">
        <f t="shared" si="1"/>
        <v>1357.6383129850299</v>
      </c>
      <c r="K15">
        <f t="shared" si="2"/>
        <v>29.400000000000002</v>
      </c>
      <c r="L15" s="60">
        <f t="shared" si="3"/>
        <v>55.170566942191655</v>
      </c>
      <c r="M15">
        <f t="shared" si="4"/>
        <v>1273.0572324336108</v>
      </c>
      <c r="N15" s="60">
        <f t="shared" si="11"/>
        <v>1357.6277993758024</v>
      </c>
      <c r="O15" s="60">
        <f t="shared" si="12"/>
        <v>1.0513609227473353E-2</v>
      </c>
      <c r="P15" s="60">
        <f t="shared" si="5"/>
        <v>7.0090728183155689E-5</v>
      </c>
    </row>
    <row r="16" spans="1:20" x14ac:dyDescent="0.25">
      <c r="A16">
        <v>14</v>
      </c>
      <c r="B16" s="60">
        <f t="shared" si="8"/>
        <v>15.394450022484319</v>
      </c>
      <c r="C16" s="62">
        <f t="shared" si="9"/>
        <v>55.420020080943551</v>
      </c>
      <c r="D16">
        <f t="shared" si="0"/>
        <v>2746.0436799095414</v>
      </c>
      <c r="E16">
        <f t="shared" si="10"/>
        <v>60</v>
      </c>
      <c r="F16">
        <f t="shared" si="10"/>
        <v>2</v>
      </c>
      <c r="G16" s="60">
        <f t="shared" si="6"/>
        <v>76.504436698626122</v>
      </c>
      <c r="H16">
        <v>2</v>
      </c>
      <c r="I16" s="60">
        <f t="shared" si="7"/>
        <v>38.252218349313061</v>
      </c>
      <c r="J16" s="61">
        <f t="shared" si="1"/>
        <v>1357.632131675673</v>
      </c>
      <c r="K16">
        <f t="shared" si="2"/>
        <v>29.400000000000002</v>
      </c>
      <c r="L16" s="60">
        <f t="shared" si="3"/>
        <v>55.171069327351901</v>
      </c>
      <c r="M16">
        <f t="shared" si="4"/>
        <v>1273.0572324336108</v>
      </c>
      <c r="N16" s="60">
        <f t="shared" si="11"/>
        <v>1357.6283017609628</v>
      </c>
      <c r="O16" s="60">
        <f t="shared" si="12"/>
        <v>3.8299147101952258E-3</v>
      </c>
      <c r="P16" s="60">
        <f t="shared" si="5"/>
        <v>2.5532764734634838E-5</v>
      </c>
    </row>
    <row r="17" spans="1:16" x14ac:dyDescent="0.25">
      <c r="A17">
        <v>15</v>
      </c>
      <c r="B17" s="60">
        <f t="shared" si="8"/>
        <v>15.394475555249054</v>
      </c>
      <c r="C17" s="62">
        <f t="shared" si="9"/>
        <v>55.420111998896594</v>
      </c>
      <c r="D17">
        <f t="shared" si="0"/>
        <v>2746.0482344137376</v>
      </c>
      <c r="E17">
        <f t="shared" si="10"/>
        <v>60</v>
      </c>
      <c r="F17">
        <f t="shared" si="10"/>
        <v>2</v>
      </c>
      <c r="G17" s="60">
        <f t="shared" si="6"/>
        <v>76.504309810913952</v>
      </c>
      <c r="H17">
        <v>2</v>
      </c>
      <c r="I17" s="60">
        <f t="shared" si="7"/>
        <v>38.252154905456976</v>
      </c>
      <c r="J17" s="61">
        <f t="shared" si="1"/>
        <v>1357.6298799522096</v>
      </c>
      <c r="K17">
        <f t="shared" si="2"/>
        <v>29.400000000000002</v>
      </c>
      <c r="L17" s="60">
        <f t="shared" si="3"/>
        <v>55.171252337605516</v>
      </c>
      <c r="M17">
        <f t="shared" si="4"/>
        <v>1273.0572324336108</v>
      </c>
      <c r="N17" s="60">
        <f t="shared" si="11"/>
        <v>1357.6284847712163</v>
      </c>
      <c r="O17" s="60">
        <f t="shared" si="12"/>
        <v>1.3951809933132608E-3</v>
      </c>
      <c r="P17" s="60">
        <f t="shared" si="5"/>
        <v>9.3012066220884062E-6</v>
      </c>
    </row>
    <row r="18" spans="1:16" x14ac:dyDescent="0.25">
      <c r="A18">
        <v>16</v>
      </c>
      <c r="B18" s="60">
        <f t="shared" si="8"/>
        <v>15.394484856455676</v>
      </c>
      <c r="C18" s="62">
        <f t="shared" si="9"/>
        <v>55.420145483240439</v>
      </c>
      <c r="D18">
        <f t="shared" si="0"/>
        <v>2746.0498935519095</v>
      </c>
      <c r="E18">
        <f t="shared" si="10"/>
        <v>60</v>
      </c>
      <c r="F18">
        <f t="shared" si="10"/>
        <v>2</v>
      </c>
      <c r="G18" s="60">
        <f t="shared" si="6"/>
        <v>76.504263587711307</v>
      </c>
      <c r="H18">
        <v>2</v>
      </c>
      <c r="I18" s="60">
        <f t="shared" si="7"/>
        <v>38.252131793855654</v>
      </c>
      <c r="J18" s="61">
        <f t="shared" si="1"/>
        <v>1357.629059684682</v>
      </c>
      <c r="K18">
        <f t="shared" si="2"/>
        <v>29.400000000000002</v>
      </c>
      <c r="L18" s="60">
        <f t="shared" si="3"/>
        <v>55.17131900559572</v>
      </c>
      <c r="M18">
        <f t="shared" si="4"/>
        <v>1273.0572324336108</v>
      </c>
      <c r="N18" s="60">
        <f t="shared" si="11"/>
        <v>1357.6285514392066</v>
      </c>
      <c r="O18" s="60">
        <f t="shared" si="12"/>
        <v>5.0824547543015797E-4</v>
      </c>
      <c r="P18" s="60">
        <f t="shared" si="5"/>
        <v>3.3883031695343865E-6</v>
      </c>
    </row>
    <row r="19" spans="1:16" x14ac:dyDescent="0.25">
      <c r="A19">
        <v>17</v>
      </c>
      <c r="B19" s="60">
        <f t="shared" si="8"/>
        <v>15.394488244758845</v>
      </c>
      <c r="C19" s="62">
        <f t="shared" si="9"/>
        <v>55.42015768113184</v>
      </c>
      <c r="D19">
        <f t="shared" si="0"/>
        <v>2746.0504979533971</v>
      </c>
      <c r="E19">
        <f t="shared" si="10"/>
        <v>60</v>
      </c>
      <c r="F19">
        <f t="shared" si="10"/>
        <v>2</v>
      </c>
      <c r="G19" s="60">
        <f t="shared" si="6"/>
        <v>76.50424674924065</v>
      </c>
      <c r="H19">
        <v>2</v>
      </c>
      <c r="I19" s="60">
        <f t="shared" si="7"/>
        <v>38.252123374620325</v>
      </c>
      <c r="J19" s="61">
        <f t="shared" si="1"/>
        <v>1357.6287608726157</v>
      </c>
      <c r="K19">
        <f t="shared" si="2"/>
        <v>29.400000000000002</v>
      </c>
      <c r="L19" s="60">
        <f t="shared" si="3"/>
        <v>55.171343291848515</v>
      </c>
      <c r="M19">
        <f t="shared" si="4"/>
        <v>1273.0572324336108</v>
      </c>
      <c r="N19" s="60">
        <f t="shared" si="11"/>
        <v>1357.6285757254593</v>
      </c>
      <c r="O19" s="64">
        <f t="shared" si="12"/>
        <v>1.8514715634410095E-4</v>
      </c>
      <c r="P19" s="60">
        <f t="shared" si="5"/>
        <v>1.2343143756273396E-6</v>
      </c>
    </row>
    <row r="20" spans="1:16" x14ac:dyDescent="0.25">
      <c r="A20">
        <v>18</v>
      </c>
      <c r="B20" s="60">
        <f t="shared" si="8"/>
        <v>15.39448947907322</v>
      </c>
      <c r="C20" s="62">
        <f t="shared" si="9"/>
        <v>55.420162124663591</v>
      </c>
      <c r="D20">
        <f t="shared" si="0"/>
        <v>2746.0507181289267</v>
      </c>
      <c r="E20">
        <f t="shared" ref="E20:F35" si="13">E19</f>
        <v>60</v>
      </c>
      <c r="F20">
        <f t="shared" si="13"/>
        <v>2</v>
      </c>
      <c r="G20" s="60">
        <f t="shared" si="6"/>
        <v>76.50424061520863</v>
      </c>
      <c r="H20">
        <v>2</v>
      </c>
      <c r="I20" s="60">
        <f t="shared" si="7"/>
        <v>38.252120307604315</v>
      </c>
      <c r="J20" s="61">
        <f t="shared" si="1"/>
        <v>1357.6286520193344</v>
      </c>
      <c r="K20">
        <f t="shared" si="2"/>
        <v>29.400000000000002</v>
      </c>
      <c r="L20" s="60">
        <f t="shared" si="3"/>
        <v>55.171352139013003</v>
      </c>
      <c r="M20">
        <f t="shared" si="4"/>
        <v>1273.0572324336108</v>
      </c>
      <c r="N20" s="60">
        <f t="shared" si="11"/>
        <v>1357.6285845726238</v>
      </c>
      <c r="O20" s="60">
        <f t="shared" si="12"/>
        <v>6.7446710545482347E-5</v>
      </c>
      <c r="P20" s="60">
        <f t="shared" si="5"/>
        <v>4.4964473696988229E-7</v>
      </c>
    </row>
    <row r="21" spans="1:16" x14ac:dyDescent="0.25">
      <c r="A21">
        <v>19</v>
      </c>
      <c r="B21" s="60">
        <f t="shared" si="8"/>
        <v>15.394489928717958</v>
      </c>
      <c r="C21" s="62">
        <f t="shared" si="9"/>
        <v>55.420163743384649</v>
      </c>
      <c r="D21">
        <f t="shared" si="0"/>
        <v>2746.0507983360203</v>
      </c>
      <c r="E21">
        <f t="shared" si="13"/>
        <v>60</v>
      </c>
      <c r="F21">
        <f t="shared" si="13"/>
        <v>2</v>
      </c>
      <c r="G21" s="60">
        <f t="shared" si="6"/>
        <v>76.504238380660453</v>
      </c>
      <c r="H21">
        <v>2</v>
      </c>
      <c r="I21" s="60">
        <f t="shared" si="7"/>
        <v>38.252119190330227</v>
      </c>
      <c r="J21" s="61">
        <f t="shared" si="1"/>
        <v>1357.6286123654982</v>
      </c>
      <c r="K21">
        <f t="shared" si="2"/>
        <v>29.400000000000002</v>
      </c>
      <c r="L21" s="60">
        <f t="shared" si="3"/>
        <v>55.171355361920604</v>
      </c>
      <c r="M21">
        <f t="shared" si="4"/>
        <v>1273.0572324336108</v>
      </c>
      <c r="N21" s="60">
        <f t="shared" si="11"/>
        <v>1357.6285877955315</v>
      </c>
      <c r="O21" s="60">
        <f t="shared" si="12"/>
        <v>2.4569966626586393E-5</v>
      </c>
      <c r="P21" s="60">
        <f t="shared" si="5"/>
        <v>1.6379977751057596E-7</v>
      </c>
    </row>
    <row r="22" spans="1:16" x14ac:dyDescent="0.25">
      <c r="A22">
        <v>20</v>
      </c>
      <c r="B22" s="60">
        <f t="shared" si="8"/>
        <v>15.394490092517735</v>
      </c>
      <c r="C22" s="62">
        <f t="shared" si="9"/>
        <v>55.420164333063845</v>
      </c>
      <c r="D22">
        <f t="shared" si="0"/>
        <v>2746.0508275544298</v>
      </c>
      <c r="E22">
        <f t="shared" si="13"/>
        <v>60</v>
      </c>
      <c r="F22">
        <f t="shared" si="13"/>
        <v>2</v>
      </c>
      <c r="G22" s="60">
        <f t="shared" si="6"/>
        <v>76.504237566643411</v>
      </c>
      <c r="H22">
        <v>2</v>
      </c>
      <c r="I22" s="60">
        <f t="shared" si="7"/>
        <v>38.252118783321706</v>
      </c>
      <c r="J22" s="61">
        <f t="shared" si="1"/>
        <v>1357.628597920118</v>
      </c>
      <c r="K22">
        <f t="shared" si="2"/>
        <v>29.400000000000002</v>
      </c>
      <c r="L22" s="60">
        <f t="shared" si="3"/>
        <v>55.17135653598428</v>
      </c>
      <c r="M22">
        <f t="shared" si="4"/>
        <v>1273.0572324336108</v>
      </c>
      <c r="N22" s="60">
        <f t="shared" si="11"/>
        <v>1357.6285889695951</v>
      </c>
      <c r="O22" s="60">
        <f t="shared" si="12"/>
        <v>8.9505228970665485E-6</v>
      </c>
      <c r="P22" s="60">
        <f t="shared" si="5"/>
        <v>5.9670152647110328E-8</v>
      </c>
    </row>
    <row r="23" spans="1:16" x14ac:dyDescent="0.25">
      <c r="A23">
        <v>21</v>
      </c>
      <c r="B23" s="60">
        <f t="shared" si="8"/>
        <v>15.394490152187888</v>
      </c>
      <c r="C23" s="62">
        <f t="shared" si="9"/>
        <v>55.420164547876396</v>
      </c>
      <c r="D23">
        <f t="shared" si="0"/>
        <v>2746.0508381983209</v>
      </c>
      <c r="E23">
        <f t="shared" si="13"/>
        <v>60</v>
      </c>
      <c r="F23">
        <f t="shared" si="13"/>
        <v>2</v>
      </c>
      <c r="G23" s="60">
        <f t="shared" si="6"/>
        <v>76.504237270107481</v>
      </c>
      <c r="H23">
        <v>2</v>
      </c>
      <c r="I23" s="60">
        <f t="shared" si="7"/>
        <v>38.252118635053741</v>
      </c>
      <c r="J23" s="61">
        <f t="shared" si="1"/>
        <v>1357.6285926578516</v>
      </c>
      <c r="K23">
        <f t="shared" si="2"/>
        <v>29.400000000000002</v>
      </c>
      <c r="L23" s="60">
        <f t="shared" si="3"/>
        <v>55.171356963680594</v>
      </c>
      <c r="M23">
        <f t="shared" si="4"/>
        <v>1273.0572324336108</v>
      </c>
      <c r="N23" s="60">
        <f t="shared" si="11"/>
        <v>1357.6285893972913</v>
      </c>
      <c r="O23" s="60">
        <f t="shared" si="12"/>
        <v>3.2605603337287903E-6</v>
      </c>
      <c r="P23" s="60">
        <f t="shared" si="5"/>
        <v>2.1737068891525268E-8</v>
      </c>
    </row>
    <row r="24" spans="1:16" x14ac:dyDescent="0.25">
      <c r="A24">
        <v>22</v>
      </c>
      <c r="B24" s="60">
        <f t="shared" si="8"/>
        <v>15.394490173924957</v>
      </c>
      <c r="C24" s="62">
        <f t="shared" si="9"/>
        <v>55.420164626129846</v>
      </c>
      <c r="D24">
        <f t="shared" si="0"/>
        <v>2746.0508420757528</v>
      </c>
      <c r="E24">
        <f t="shared" si="13"/>
        <v>60</v>
      </c>
      <c r="F24">
        <f t="shared" si="13"/>
        <v>2</v>
      </c>
      <c r="G24" s="60">
        <f t="shared" si="6"/>
        <v>76.504237162083271</v>
      </c>
      <c r="H24">
        <v>2</v>
      </c>
      <c r="I24" s="60">
        <f t="shared" si="7"/>
        <v>38.252118581041636</v>
      </c>
      <c r="J24" s="61">
        <f t="shared" si="1"/>
        <v>1357.628590740876</v>
      </c>
      <c r="K24">
        <f t="shared" si="2"/>
        <v>29.400000000000002</v>
      </c>
      <c r="L24" s="60">
        <f t="shared" si="3"/>
        <v>55.17135711948486</v>
      </c>
      <c r="M24">
        <f t="shared" si="4"/>
        <v>1273.0572324336108</v>
      </c>
      <c r="N24" s="60">
        <f t="shared" si="11"/>
        <v>1357.6285895530957</v>
      </c>
      <c r="O24" s="60">
        <f t="shared" si="12"/>
        <v>1.1877802990056807E-6</v>
      </c>
      <c r="P24" s="60">
        <f t="shared" si="5"/>
        <v>7.9185353267045388E-9</v>
      </c>
    </row>
    <row r="25" spans="1:16" x14ac:dyDescent="0.25">
      <c r="A25">
        <v>23</v>
      </c>
      <c r="B25" s="60">
        <f t="shared" si="8"/>
        <v>15.394490181843492</v>
      </c>
      <c r="C25" s="62">
        <f t="shared" si="9"/>
        <v>55.420164654636572</v>
      </c>
      <c r="D25">
        <f t="shared" si="0"/>
        <v>2746.0508434882522</v>
      </c>
      <c r="E25">
        <f t="shared" si="13"/>
        <v>60</v>
      </c>
      <c r="F25">
        <f t="shared" si="13"/>
        <v>2</v>
      </c>
      <c r="G25" s="60">
        <f t="shared" si="6"/>
        <v>76.504237122731411</v>
      </c>
      <c r="H25">
        <v>2</v>
      </c>
      <c r="I25" s="60">
        <f t="shared" si="7"/>
        <v>38.252118561365705</v>
      </c>
      <c r="J25" s="61">
        <f t="shared" si="1"/>
        <v>1357.628590042546</v>
      </c>
      <c r="K25">
        <f t="shared" si="2"/>
        <v>29.400000000000002</v>
      </c>
      <c r="L25" s="60">
        <f t="shared" si="3"/>
        <v>55.171357176242346</v>
      </c>
      <c r="M25">
        <f t="shared" si="4"/>
        <v>1273.0572324336108</v>
      </c>
      <c r="N25" s="60">
        <f t="shared" si="11"/>
        <v>1357.6285896098532</v>
      </c>
      <c r="O25" s="60">
        <f t="shared" si="12"/>
        <v>4.3269278648949694E-7</v>
      </c>
      <c r="P25" s="60">
        <f t="shared" si="5"/>
        <v>2.8846185765966462E-9</v>
      </c>
    </row>
    <row r="26" spans="1:16" x14ac:dyDescent="0.25">
      <c r="A26">
        <v>24</v>
      </c>
      <c r="B26" s="60">
        <f t="shared" si="8"/>
        <v>15.394490184728111</v>
      </c>
      <c r="C26" s="62">
        <f t="shared" si="9"/>
        <v>55.420164665021204</v>
      </c>
      <c r="D26">
        <f t="shared" si="0"/>
        <v>2746.050844002807</v>
      </c>
      <c r="E26">
        <f t="shared" si="13"/>
        <v>60</v>
      </c>
      <c r="F26">
        <f t="shared" si="13"/>
        <v>2</v>
      </c>
      <c r="G26" s="60">
        <f t="shared" si="6"/>
        <v>76.504237108396055</v>
      </c>
      <c r="H26">
        <v>2</v>
      </c>
      <c r="I26" s="60">
        <f t="shared" si="7"/>
        <v>38.252118554198027</v>
      </c>
      <c r="J26" s="61">
        <f t="shared" si="1"/>
        <v>1357.6285897881537</v>
      </c>
      <c r="K26">
        <f t="shared" si="2"/>
        <v>29.400000000000002</v>
      </c>
      <c r="L26" s="60">
        <f t="shared" si="3"/>
        <v>55.171357196918372</v>
      </c>
      <c r="M26">
        <f t="shared" si="4"/>
        <v>1273.0572324336108</v>
      </c>
      <c r="N26" s="60">
        <f t="shared" si="11"/>
        <v>1357.6285896305292</v>
      </c>
      <c r="O26" s="60">
        <f t="shared" si="12"/>
        <v>1.5762452676426619E-7</v>
      </c>
      <c r="P26" s="60">
        <f t="shared" si="5"/>
        <v>1.0508301784284414E-9</v>
      </c>
    </row>
    <row r="27" spans="1:16" x14ac:dyDescent="0.25">
      <c r="A27">
        <v>25</v>
      </c>
      <c r="B27" s="60">
        <f t="shared" si="8"/>
        <v>15.394490185778942</v>
      </c>
      <c r="C27" s="62">
        <f t="shared" si="9"/>
        <v>55.42016466880419</v>
      </c>
      <c r="D27">
        <f t="shared" si="0"/>
        <v>2746.050844190253</v>
      </c>
      <c r="E27">
        <f t="shared" si="13"/>
        <v>60</v>
      </c>
      <c r="F27">
        <f t="shared" si="13"/>
        <v>2</v>
      </c>
      <c r="G27" s="60">
        <f t="shared" si="6"/>
        <v>76.504237103173864</v>
      </c>
      <c r="H27">
        <v>2</v>
      </c>
      <c r="I27" s="60">
        <f t="shared" si="7"/>
        <v>38.252118551586932</v>
      </c>
      <c r="J27" s="61">
        <f t="shared" si="1"/>
        <v>1357.6285896954819</v>
      </c>
      <c r="K27">
        <f t="shared" si="2"/>
        <v>29.400000000000002</v>
      </c>
      <c r="L27" s="60">
        <f t="shared" si="3"/>
        <v>55.171357204450366</v>
      </c>
      <c r="M27">
        <f t="shared" si="4"/>
        <v>1273.0572324336108</v>
      </c>
      <c r="N27" s="60">
        <f t="shared" si="11"/>
        <v>1357.6285896380612</v>
      </c>
      <c r="O27" s="60">
        <f t="shared" si="12"/>
        <v>5.7420720622758381E-8</v>
      </c>
      <c r="P27" s="60">
        <f t="shared" si="5"/>
        <v>3.8280480415172252E-10</v>
      </c>
    </row>
    <row r="28" spans="1:16" x14ac:dyDescent="0.25">
      <c r="A28">
        <v>26</v>
      </c>
      <c r="B28" s="60">
        <f t="shared" si="8"/>
        <v>15.394490186161747</v>
      </c>
      <c r="C28" s="62">
        <f t="shared" si="9"/>
        <v>55.420164670182288</v>
      </c>
      <c r="D28">
        <f t="shared" si="0"/>
        <v>2746.0508442585369</v>
      </c>
      <c r="E28">
        <f t="shared" si="13"/>
        <v>60</v>
      </c>
      <c r="F28">
        <f t="shared" si="13"/>
        <v>2</v>
      </c>
      <c r="G28" s="60">
        <f t="shared" si="6"/>
        <v>76.504237101271485</v>
      </c>
      <c r="H28">
        <v>2</v>
      </c>
      <c r="I28" s="60">
        <f t="shared" si="7"/>
        <v>38.252118550635743</v>
      </c>
      <c r="J28" s="61">
        <f t="shared" si="1"/>
        <v>1357.6285896617226</v>
      </c>
      <c r="K28">
        <f t="shared" si="2"/>
        <v>29.400000000000002</v>
      </c>
      <c r="L28" s="60">
        <f t="shared" si="3"/>
        <v>55.171357207194198</v>
      </c>
      <c r="M28">
        <f t="shared" si="4"/>
        <v>1273.0572324336108</v>
      </c>
      <c r="N28" s="60">
        <f t="shared" si="11"/>
        <v>1357.6285896408051</v>
      </c>
      <c r="O28" s="60">
        <f t="shared" si="12"/>
        <v>2.0917468646075577E-8</v>
      </c>
      <c r="P28" s="60">
        <f t="shared" si="5"/>
        <v>1.3944979097383717E-10</v>
      </c>
    </row>
    <row r="29" spans="1:16" x14ac:dyDescent="0.25">
      <c r="A29">
        <v>27</v>
      </c>
      <c r="B29" s="60">
        <f t="shared" si="8"/>
        <v>15.394490186301196</v>
      </c>
      <c r="C29" s="62">
        <f t="shared" si="9"/>
        <v>55.420164670684308</v>
      </c>
      <c r="D29">
        <f t="shared" si="0"/>
        <v>2746.0508442834121</v>
      </c>
      <c r="E29">
        <f t="shared" si="13"/>
        <v>60</v>
      </c>
      <c r="F29">
        <f t="shared" si="13"/>
        <v>2</v>
      </c>
      <c r="G29" s="60">
        <f t="shared" si="6"/>
        <v>76.504237100578464</v>
      </c>
      <c r="H29">
        <v>2</v>
      </c>
      <c r="I29" s="60">
        <f t="shared" si="7"/>
        <v>38.252118550289232</v>
      </c>
      <c r="J29" s="61">
        <f t="shared" si="1"/>
        <v>1357.6285896494242</v>
      </c>
      <c r="K29">
        <f t="shared" si="2"/>
        <v>29.400000000000002</v>
      </c>
      <c r="L29" s="60">
        <f t="shared" si="3"/>
        <v>55.171357208193726</v>
      </c>
      <c r="M29">
        <f t="shared" si="4"/>
        <v>1273.0572324336108</v>
      </c>
      <c r="N29" s="60">
        <f t="shared" si="11"/>
        <v>1357.6285896418046</v>
      </c>
      <c r="O29" s="60">
        <f t="shared" si="12"/>
        <v>7.6195192377781495E-9</v>
      </c>
      <c r="P29" s="60">
        <f t="shared" si="5"/>
        <v>5.0796794918520997E-11</v>
      </c>
    </row>
    <row r="30" spans="1:16" x14ac:dyDescent="0.25">
      <c r="A30">
        <v>28</v>
      </c>
      <c r="B30" s="60">
        <f t="shared" si="8"/>
        <v>15.394490186351993</v>
      </c>
      <c r="C30" s="62">
        <f t="shared" si="9"/>
        <v>55.420164670867173</v>
      </c>
      <c r="D30">
        <f t="shared" si="0"/>
        <v>2746.0508442924729</v>
      </c>
      <c r="E30">
        <f t="shared" si="13"/>
        <v>60</v>
      </c>
      <c r="F30">
        <f t="shared" si="13"/>
        <v>2</v>
      </c>
      <c r="G30" s="60">
        <f t="shared" si="6"/>
        <v>76.504237100326037</v>
      </c>
      <c r="H30">
        <v>2</v>
      </c>
      <c r="I30" s="60">
        <f t="shared" si="7"/>
        <v>38.252118550163019</v>
      </c>
      <c r="J30" s="61">
        <f t="shared" si="1"/>
        <v>1357.6285896449447</v>
      </c>
      <c r="K30">
        <f t="shared" si="2"/>
        <v>29.400000000000002</v>
      </c>
      <c r="L30" s="60">
        <f t="shared" si="3"/>
        <v>55.171357208557815</v>
      </c>
      <c r="M30">
        <f t="shared" si="4"/>
        <v>1273.0572324336108</v>
      </c>
      <c r="N30" s="60">
        <f t="shared" si="11"/>
        <v>1357.6285896421687</v>
      </c>
      <c r="O30" s="60">
        <f t="shared" si="12"/>
        <v>2.7760052034864202E-9</v>
      </c>
      <c r="P30" s="60">
        <f t="shared" si="5"/>
        <v>1.8506701356576134E-11</v>
      </c>
    </row>
    <row r="31" spans="1:16" x14ac:dyDescent="0.25">
      <c r="A31">
        <v>29</v>
      </c>
      <c r="B31" s="60">
        <f t="shared" si="8"/>
        <v>15.394490186370499</v>
      </c>
      <c r="C31" s="62">
        <f t="shared" si="9"/>
        <v>55.420164670933794</v>
      </c>
      <c r="D31">
        <f t="shared" si="0"/>
        <v>2746.0508442957739</v>
      </c>
      <c r="E31">
        <f t="shared" si="13"/>
        <v>60</v>
      </c>
      <c r="F31">
        <f t="shared" si="13"/>
        <v>2</v>
      </c>
      <c r="G31" s="60">
        <f t="shared" si="6"/>
        <v>76.504237100234079</v>
      </c>
      <c r="H31">
        <v>2</v>
      </c>
      <c r="I31" s="60">
        <f t="shared" si="7"/>
        <v>38.252118550117039</v>
      </c>
      <c r="J31" s="61">
        <f t="shared" si="1"/>
        <v>1357.628589643313</v>
      </c>
      <c r="K31">
        <f t="shared" si="2"/>
        <v>29.400000000000002</v>
      </c>
      <c r="L31" s="60">
        <f t="shared" si="3"/>
        <v>55.171357208690459</v>
      </c>
      <c r="M31">
        <f t="shared" si="4"/>
        <v>1273.0572324336108</v>
      </c>
      <c r="N31" s="60">
        <f t="shared" si="11"/>
        <v>1357.6285896423012</v>
      </c>
      <c r="O31" s="60">
        <f t="shared" si="12"/>
        <v>1.0118128557223827E-9</v>
      </c>
      <c r="P31" s="60">
        <f t="shared" si="5"/>
        <v>6.745419038149218E-12</v>
      </c>
    </row>
    <row r="32" spans="1:16" x14ac:dyDescent="0.25">
      <c r="A32">
        <v>30</v>
      </c>
      <c r="B32" s="60">
        <f t="shared" si="8"/>
        <v>15.394490186377244</v>
      </c>
      <c r="C32" s="62">
        <f t="shared" si="9"/>
        <v>55.42016467095808</v>
      </c>
      <c r="D32">
        <f t="shared" si="0"/>
        <v>2746.0508442969776</v>
      </c>
      <c r="E32">
        <f t="shared" si="13"/>
        <v>60</v>
      </c>
      <c r="F32">
        <f t="shared" si="13"/>
        <v>2</v>
      </c>
      <c r="G32" s="60">
        <f t="shared" si="6"/>
        <v>76.504237100200541</v>
      </c>
      <c r="H32">
        <v>2</v>
      </c>
      <c r="I32" s="60">
        <f t="shared" si="7"/>
        <v>38.252118550100271</v>
      </c>
      <c r="J32" s="61">
        <f t="shared" si="1"/>
        <v>1357.628589642718</v>
      </c>
      <c r="K32">
        <f t="shared" si="2"/>
        <v>29.400000000000002</v>
      </c>
      <c r="L32" s="60">
        <f t="shared" si="3"/>
        <v>55.171357208738812</v>
      </c>
      <c r="M32">
        <f t="shared" si="4"/>
        <v>1273.0572324336108</v>
      </c>
      <c r="N32" s="60">
        <f t="shared" si="11"/>
        <v>1357.6285896423497</v>
      </c>
      <c r="O32" s="60">
        <f t="shared" si="12"/>
        <v>3.6834535421803594E-10</v>
      </c>
      <c r="P32" s="60">
        <f t="shared" si="5"/>
        <v>2.4556356947869064E-12</v>
      </c>
    </row>
    <row r="33" spans="1:16" x14ac:dyDescent="0.25">
      <c r="A33">
        <v>31</v>
      </c>
      <c r="B33" s="60">
        <f t="shared" si="8"/>
        <v>15.394490186379699</v>
      </c>
      <c r="C33" s="62">
        <f t="shared" si="9"/>
        <v>55.420164670966919</v>
      </c>
      <c r="D33">
        <f t="shared" si="0"/>
        <v>2746.0508442974156</v>
      </c>
      <c r="E33">
        <f t="shared" si="13"/>
        <v>60</v>
      </c>
      <c r="F33">
        <f t="shared" si="13"/>
        <v>2</v>
      </c>
      <c r="G33" s="60">
        <f t="shared" si="6"/>
        <v>76.504237100188348</v>
      </c>
      <c r="H33">
        <v>2</v>
      </c>
      <c r="I33" s="60">
        <f t="shared" si="7"/>
        <v>38.252118550094174</v>
      </c>
      <c r="J33" s="61">
        <f t="shared" si="1"/>
        <v>1357.6285896425015</v>
      </c>
      <c r="K33">
        <f t="shared" si="2"/>
        <v>29.400000000000002</v>
      </c>
      <c r="L33" s="60">
        <f t="shared" si="3"/>
        <v>55.171357208756412</v>
      </c>
      <c r="M33">
        <f t="shared" si="4"/>
        <v>1273.0572324336108</v>
      </c>
      <c r="N33" s="60">
        <f t="shared" si="11"/>
        <v>1357.6285896423672</v>
      </c>
      <c r="O33" s="60">
        <f t="shared" si="12"/>
        <v>1.3437784218695015E-10</v>
      </c>
      <c r="P33" s="60">
        <f t="shared" si="5"/>
        <v>8.958522812463343E-13</v>
      </c>
    </row>
    <row r="34" spans="1:16" x14ac:dyDescent="0.25">
      <c r="A34">
        <v>32</v>
      </c>
      <c r="B34" s="60">
        <f t="shared" si="8"/>
        <v>15.394490186380594</v>
      </c>
      <c r="C34" s="62">
        <f t="shared" si="9"/>
        <v>55.420164670970138</v>
      </c>
      <c r="D34">
        <f t="shared" si="0"/>
        <v>2746.0508442975752</v>
      </c>
      <c r="E34">
        <f t="shared" si="13"/>
        <v>60</v>
      </c>
      <c r="F34">
        <f t="shared" si="13"/>
        <v>2</v>
      </c>
      <c r="G34" s="60">
        <f t="shared" si="6"/>
        <v>76.5042371001839</v>
      </c>
      <c r="H34">
        <v>2</v>
      </c>
      <c r="I34" s="60">
        <f t="shared" si="7"/>
        <v>38.25211855009195</v>
      </c>
      <c r="J34" s="61">
        <f t="shared" si="1"/>
        <v>1357.6285896424224</v>
      </c>
      <c r="K34">
        <f t="shared" si="2"/>
        <v>29.400000000000002</v>
      </c>
      <c r="L34" s="60">
        <f t="shared" si="3"/>
        <v>55.171357208762821</v>
      </c>
      <c r="M34">
        <f t="shared" si="4"/>
        <v>1273.0572324336108</v>
      </c>
      <c r="N34" s="60">
        <f t="shared" si="11"/>
        <v>1357.6285896423735</v>
      </c>
      <c r="O34" s="60">
        <f t="shared" si="12"/>
        <v>4.8885340220294893E-11</v>
      </c>
      <c r="P34" s="60">
        <f t="shared" si="5"/>
        <v>3.2590226813529929E-13</v>
      </c>
    </row>
    <row r="35" spans="1:16" x14ac:dyDescent="0.25">
      <c r="A35">
        <v>33</v>
      </c>
      <c r="B35" s="60">
        <f t="shared" si="8"/>
        <v>15.394490186380919</v>
      </c>
      <c r="C35" s="62">
        <f t="shared" si="9"/>
        <v>55.42016467097131</v>
      </c>
      <c r="D35">
        <f t="shared" si="0"/>
        <v>2746.0508442976329</v>
      </c>
      <c r="E35">
        <f t="shared" si="13"/>
        <v>60</v>
      </c>
      <c r="F35">
        <f t="shared" si="13"/>
        <v>2</v>
      </c>
      <c r="G35" s="60">
        <f t="shared" si="6"/>
        <v>76.50423710018228</v>
      </c>
      <c r="H35">
        <v>2</v>
      </c>
      <c r="I35" s="60">
        <f t="shared" si="7"/>
        <v>38.25211855009114</v>
      </c>
      <c r="J35" s="61">
        <f t="shared" si="1"/>
        <v>1357.6285896423935</v>
      </c>
      <c r="K35">
        <f t="shared" si="2"/>
        <v>29.400000000000002</v>
      </c>
      <c r="L35" s="60">
        <f t="shared" si="3"/>
        <v>55.171357208765151</v>
      </c>
      <c r="M35">
        <f t="shared" si="4"/>
        <v>1273.0572324336108</v>
      </c>
      <c r="N35" s="60">
        <f t="shared" si="11"/>
        <v>1357.628589642376</v>
      </c>
      <c r="O35" s="60">
        <f t="shared" si="12"/>
        <v>1.7507773009128869E-11</v>
      </c>
      <c r="P35" s="60">
        <f t="shared" si="5"/>
        <v>1.1671848672752578E-13</v>
      </c>
    </row>
    <row r="36" spans="1:16" x14ac:dyDescent="0.25">
      <c r="A36">
        <v>34</v>
      </c>
      <c r="B36" s="60">
        <f t="shared" si="8"/>
        <v>15.394490186381036</v>
      </c>
      <c r="C36" s="62">
        <f t="shared" si="9"/>
        <v>55.420164670971729</v>
      </c>
      <c r="D36">
        <f t="shared" si="0"/>
        <v>2746.0508442976538</v>
      </c>
      <c r="E36">
        <f t="shared" ref="E36:F51" si="14">E35</f>
        <v>60</v>
      </c>
      <c r="F36">
        <f t="shared" si="14"/>
        <v>2</v>
      </c>
      <c r="G36" s="60">
        <f t="shared" si="6"/>
        <v>76.504237100181697</v>
      </c>
      <c r="H36">
        <v>2</v>
      </c>
      <c r="I36" s="60">
        <f t="shared" si="7"/>
        <v>38.252118550090849</v>
      </c>
      <c r="J36" s="61">
        <f t="shared" si="1"/>
        <v>1357.6285896423833</v>
      </c>
      <c r="K36">
        <f t="shared" si="2"/>
        <v>29.400000000000002</v>
      </c>
      <c r="L36" s="60">
        <f t="shared" si="3"/>
        <v>55.17135720876599</v>
      </c>
      <c r="M36">
        <f t="shared" si="4"/>
        <v>1273.0572324336108</v>
      </c>
      <c r="N36" s="60">
        <f t="shared" si="11"/>
        <v>1357.6285896423767</v>
      </c>
      <c r="O36" s="60">
        <f t="shared" si="12"/>
        <v>6.5938365878537297E-12</v>
      </c>
      <c r="P36" s="60">
        <f t="shared" si="5"/>
        <v>4.3958910585691531E-14</v>
      </c>
    </row>
    <row r="37" spans="1:16" x14ac:dyDescent="0.25">
      <c r="A37">
        <v>35</v>
      </c>
      <c r="B37" s="60">
        <f t="shared" si="8"/>
        <v>15.394490186381081</v>
      </c>
      <c r="C37" s="62">
        <f t="shared" si="9"/>
        <v>55.420164670971893</v>
      </c>
      <c r="D37">
        <f t="shared" si="0"/>
        <v>2746.050844297662</v>
      </c>
      <c r="E37">
        <f t="shared" si="14"/>
        <v>60</v>
      </c>
      <c r="F37">
        <f t="shared" si="14"/>
        <v>2</v>
      </c>
      <c r="G37" s="60">
        <f t="shared" si="6"/>
        <v>76.50423710018147</v>
      </c>
      <c r="H37">
        <v>2</v>
      </c>
      <c r="I37" s="60">
        <f t="shared" si="7"/>
        <v>38.252118550090735</v>
      </c>
      <c r="J37" s="61">
        <f t="shared" si="1"/>
        <v>1357.6285896423794</v>
      </c>
      <c r="K37">
        <f t="shared" si="2"/>
        <v>29.400000000000002</v>
      </c>
      <c r="L37" s="60">
        <f t="shared" si="3"/>
        <v>55.17135720876631</v>
      </c>
      <c r="M37">
        <f t="shared" si="4"/>
        <v>1273.0572324336108</v>
      </c>
      <c r="N37" s="60">
        <f t="shared" si="11"/>
        <v>1357.6285896423772</v>
      </c>
      <c r="O37" s="60">
        <f t="shared" si="12"/>
        <v>2.2737367544323206E-12</v>
      </c>
      <c r="P37" s="60">
        <f t="shared" si="5"/>
        <v>1.5158245029548804E-14</v>
      </c>
    </row>
    <row r="38" spans="1:16" x14ac:dyDescent="0.25">
      <c r="A38">
        <v>36</v>
      </c>
      <c r="B38" s="60">
        <f t="shared" si="8"/>
        <v>15.394490186381097</v>
      </c>
      <c r="C38" s="62">
        <f t="shared" si="9"/>
        <v>55.42016467097195</v>
      </c>
      <c r="D38">
        <f t="shared" si="0"/>
        <v>2746.0508442976648</v>
      </c>
      <c r="E38">
        <f t="shared" si="14"/>
        <v>60</v>
      </c>
      <c r="F38">
        <f t="shared" si="14"/>
        <v>2</v>
      </c>
      <c r="G38" s="60">
        <f t="shared" si="6"/>
        <v>76.504237100181399</v>
      </c>
      <c r="H38">
        <v>2</v>
      </c>
      <c r="I38" s="60">
        <f t="shared" si="7"/>
        <v>38.2521185500907</v>
      </c>
      <c r="J38" s="61">
        <f t="shared" si="1"/>
        <v>1357.6285896423781</v>
      </c>
      <c r="K38">
        <f t="shared" si="2"/>
        <v>29.400000000000002</v>
      </c>
      <c r="L38" s="60">
        <f t="shared" si="3"/>
        <v>55.171357208766423</v>
      </c>
      <c r="M38">
        <f t="shared" si="4"/>
        <v>1273.0572324336108</v>
      </c>
      <c r="N38" s="60">
        <f t="shared" si="11"/>
        <v>1357.6285896423772</v>
      </c>
      <c r="O38" s="60">
        <f t="shared" si="12"/>
        <v>0</v>
      </c>
      <c r="P38" s="60">
        <f t="shared" si="5"/>
        <v>0</v>
      </c>
    </row>
    <row r="39" spans="1:16" x14ac:dyDescent="0.25">
      <c r="A39">
        <v>37</v>
      </c>
      <c r="B39" s="60">
        <f t="shared" si="8"/>
        <v>15.394490186381097</v>
      </c>
      <c r="C39" s="62">
        <f t="shared" si="9"/>
        <v>55.42016467097195</v>
      </c>
      <c r="D39">
        <f t="shared" si="0"/>
        <v>2746.0508442976648</v>
      </c>
      <c r="E39">
        <f t="shared" si="14"/>
        <v>60</v>
      </c>
      <c r="F39">
        <f t="shared" si="14"/>
        <v>2</v>
      </c>
      <c r="G39" s="60">
        <f t="shared" si="6"/>
        <v>76.504237100181399</v>
      </c>
      <c r="H39">
        <v>2</v>
      </c>
      <c r="I39" s="60">
        <f t="shared" si="7"/>
        <v>38.2521185500907</v>
      </c>
      <c r="J39" s="61">
        <f t="shared" si="1"/>
        <v>1357.6285896423781</v>
      </c>
      <c r="K39">
        <f t="shared" si="2"/>
        <v>29.400000000000002</v>
      </c>
      <c r="L39" s="60">
        <f t="shared" si="3"/>
        <v>55.171357208766423</v>
      </c>
      <c r="M39">
        <f t="shared" si="4"/>
        <v>1273.0572324336108</v>
      </c>
      <c r="N39" s="60">
        <f t="shared" si="11"/>
        <v>1357.6285896423772</v>
      </c>
      <c r="O39" s="60">
        <f t="shared" si="12"/>
        <v>0</v>
      </c>
      <c r="P39" s="60">
        <f t="shared" si="5"/>
        <v>0</v>
      </c>
    </row>
    <row r="40" spans="1:16" x14ac:dyDescent="0.25">
      <c r="A40">
        <v>38</v>
      </c>
      <c r="B40" s="60">
        <f t="shared" si="8"/>
        <v>15.394490186381097</v>
      </c>
      <c r="C40" s="62">
        <f t="shared" si="9"/>
        <v>55.42016467097195</v>
      </c>
      <c r="D40">
        <f t="shared" si="0"/>
        <v>2746.0508442976648</v>
      </c>
      <c r="E40">
        <f t="shared" si="14"/>
        <v>60</v>
      </c>
      <c r="F40">
        <f t="shared" si="14"/>
        <v>2</v>
      </c>
      <c r="G40" s="60">
        <f t="shared" si="6"/>
        <v>76.504237100181399</v>
      </c>
      <c r="H40">
        <v>2</v>
      </c>
      <c r="I40" s="60">
        <f t="shared" si="7"/>
        <v>38.2521185500907</v>
      </c>
      <c r="J40" s="61">
        <f t="shared" si="1"/>
        <v>1357.6285896423781</v>
      </c>
      <c r="K40">
        <f t="shared" si="2"/>
        <v>29.400000000000002</v>
      </c>
      <c r="L40" s="60">
        <f t="shared" si="3"/>
        <v>55.171357208766423</v>
      </c>
      <c r="M40">
        <f t="shared" si="4"/>
        <v>1273.0572324336108</v>
      </c>
      <c r="N40" s="60">
        <f t="shared" si="11"/>
        <v>1357.6285896423772</v>
      </c>
      <c r="O40" s="60">
        <f t="shared" si="12"/>
        <v>0</v>
      </c>
      <c r="P40" s="60">
        <f t="shared" si="5"/>
        <v>0</v>
      </c>
    </row>
    <row r="41" spans="1:16" x14ac:dyDescent="0.25">
      <c r="A41">
        <v>39</v>
      </c>
      <c r="B41" s="60">
        <f t="shared" si="8"/>
        <v>15.394490186381097</v>
      </c>
      <c r="C41" s="62">
        <f t="shared" si="9"/>
        <v>55.42016467097195</v>
      </c>
      <c r="D41">
        <f t="shared" si="0"/>
        <v>2746.0508442976648</v>
      </c>
      <c r="E41">
        <f t="shared" si="14"/>
        <v>60</v>
      </c>
      <c r="F41">
        <f t="shared" si="14"/>
        <v>2</v>
      </c>
      <c r="G41" s="60">
        <f t="shared" si="6"/>
        <v>76.504237100181399</v>
      </c>
      <c r="H41">
        <v>2</v>
      </c>
      <c r="I41" s="60">
        <f t="shared" si="7"/>
        <v>38.2521185500907</v>
      </c>
      <c r="J41" s="61">
        <f t="shared" si="1"/>
        <v>1357.6285896423781</v>
      </c>
      <c r="K41">
        <f t="shared" si="2"/>
        <v>29.400000000000002</v>
      </c>
      <c r="L41" s="60">
        <f t="shared" si="3"/>
        <v>55.171357208766423</v>
      </c>
      <c r="M41">
        <f t="shared" si="4"/>
        <v>1273.0572324336108</v>
      </c>
      <c r="N41" s="60">
        <f t="shared" si="11"/>
        <v>1357.6285896423772</v>
      </c>
      <c r="O41" s="60">
        <f t="shared" si="12"/>
        <v>0</v>
      </c>
      <c r="P41" s="60">
        <f t="shared" si="5"/>
        <v>0</v>
      </c>
    </row>
    <row r="42" spans="1:16" x14ac:dyDescent="0.25">
      <c r="A42">
        <v>40</v>
      </c>
      <c r="B42" s="60">
        <f t="shared" si="8"/>
        <v>15.394490186381097</v>
      </c>
      <c r="C42" s="62">
        <f t="shared" si="9"/>
        <v>55.42016467097195</v>
      </c>
      <c r="D42">
        <f t="shared" si="0"/>
        <v>2746.0508442976648</v>
      </c>
      <c r="E42">
        <f t="shared" si="14"/>
        <v>60</v>
      </c>
      <c r="F42">
        <f t="shared" si="14"/>
        <v>2</v>
      </c>
      <c r="G42" s="60">
        <f t="shared" si="6"/>
        <v>76.504237100181399</v>
      </c>
      <c r="H42">
        <v>2</v>
      </c>
      <c r="I42" s="60">
        <f t="shared" si="7"/>
        <v>38.2521185500907</v>
      </c>
      <c r="J42" s="61">
        <f t="shared" si="1"/>
        <v>1357.6285896423781</v>
      </c>
      <c r="K42">
        <f t="shared" si="2"/>
        <v>29.400000000000002</v>
      </c>
      <c r="L42" s="60">
        <f t="shared" si="3"/>
        <v>55.171357208766423</v>
      </c>
      <c r="M42">
        <f t="shared" si="4"/>
        <v>1273.0572324336108</v>
      </c>
      <c r="N42" s="60">
        <f t="shared" si="11"/>
        <v>1357.6285896423772</v>
      </c>
      <c r="O42" s="60">
        <f t="shared" si="12"/>
        <v>0</v>
      </c>
      <c r="P42" s="60">
        <f t="shared" si="5"/>
        <v>0</v>
      </c>
    </row>
    <row r="43" spans="1:16" x14ac:dyDescent="0.25">
      <c r="A43">
        <v>41</v>
      </c>
      <c r="B43" s="60">
        <f t="shared" si="8"/>
        <v>15.394490186381097</v>
      </c>
      <c r="C43" s="62">
        <f t="shared" si="9"/>
        <v>55.42016467097195</v>
      </c>
      <c r="D43">
        <f t="shared" si="0"/>
        <v>2746.0508442976648</v>
      </c>
      <c r="E43">
        <f t="shared" si="14"/>
        <v>60</v>
      </c>
      <c r="F43">
        <f t="shared" si="14"/>
        <v>2</v>
      </c>
      <c r="G43" s="60">
        <f t="shared" si="6"/>
        <v>76.504237100181399</v>
      </c>
      <c r="H43">
        <v>2</v>
      </c>
      <c r="I43" s="60">
        <f t="shared" si="7"/>
        <v>38.2521185500907</v>
      </c>
      <c r="J43" s="61">
        <f t="shared" si="1"/>
        <v>1357.6285896423781</v>
      </c>
      <c r="K43">
        <f t="shared" si="2"/>
        <v>29.400000000000002</v>
      </c>
      <c r="L43" s="60">
        <f t="shared" si="3"/>
        <v>55.171357208766423</v>
      </c>
      <c r="M43">
        <f t="shared" si="4"/>
        <v>1273.0572324336108</v>
      </c>
      <c r="N43" s="60">
        <f t="shared" si="11"/>
        <v>1357.6285896423772</v>
      </c>
      <c r="O43" s="60">
        <f t="shared" si="12"/>
        <v>0</v>
      </c>
      <c r="P43" s="60">
        <f t="shared" si="5"/>
        <v>0</v>
      </c>
    </row>
    <row r="44" spans="1:16" x14ac:dyDescent="0.25">
      <c r="A44">
        <v>42</v>
      </c>
      <c r="B44" s="60">
        <f t="shared" si="8"/>
        <v>15.394490186381097</v>
      </c>
      <c r="C44" s="62">
        <f t="shared" si="9"/>
        <v>55.42016467097195</v>
      </c>
      <c r="D44">
        <f t="shared" si="0"/>
        <v>2746.0508442976648</v>
      </c>
      <c r="E44">
        <f t="shared" si="14"/>
        <v>60</v>
      </c>
      <c r="F44">
        <f t="shared" si="14"/>
        <v>2</v>
      </c>
      <c r="G44" s="60">
        <f t="shared" si="6"/>
        <v>76.504237100181399</v>
      </c>
      <c r="H44">
        <v>2</v>
      </c>
      <c r="I44" s="60">
        <f t="shared" si="7"/>
        <v>38.2521185500907</v>
      </c>
      <c r="J44" s="61">
        <f t="shared" si="1"/>
        <v>1357.6285896423781</v>
      </c>
      <c r="K44">
        <f t="shared" si="2"/>
        <v>29.400000000000002</v>
      </c>
      <c r="L44" s="60">
        <f t="shared" si="3"/>
        <v>55.171357208766423</v>
      </c>
      <c r="M44">
        <f t="shared" si="4"/>
        <v>1273.0572324336108</v>
      </c>
      <c r="N44" s="60">
        <f t="shared" si="11"/>
        <v>1357.6285896423772</v>
      </c>
      <c r="O44" s="60">
        <f t="shared" si="12"/>
        <v>0</v>
      </c>
      <c r="P44" s="60">
        <f t="shared" si="5"/>
        <v>0</v>
      </c>
    </row>
    <row r="45" spans="1:16" x14ac:dyDescent="0.25">
      <c r="A45">
        <v>43</v>
      </c>
      <c r="B45" s="60">
        <f t="shared" si="8"/>
        <v>15.394490186381097</v>
      </c>
      <c r="C45" s="62">
        <f t="shared" si="9"/>
        <v>55.42016467097195</v>
      </c>
      <c r="D45">
        <f t="shared" si="0"/>
        <v>2746.0508442976648</v>
      </c>
      <c r="E45">
        <f t="shared" si="14"/>
        <v>60</v>
      </c>
      <c r="F45">
        <f t="shared" si="14"/>
        <v>2</v>
      </c>
      <c r="G45" s="60">
        <f t="shared" si="6"/>
        <v>76.504237100181399</v>
      </c>
      <c r="H45">
        <v>2</v>
      </c>
      <c r="I45" s="60">
        <f t="shared" si="7"/>
        <v>38.2521185500907</v>
      </c>
      <c r="J45" s="61">
        <f t="shared" si="1"/>
        <v>1357.6285896423781</v>
      </c>
      <c r="K45">
        <f t="shared" si="2"/>
        <v>29.400000000000002</v>
      </c>
      <c r="L45" s="60">
        <f t="shared" si="3"/>
        <v>55.171357208766423</v>
      </c>
      <c r="M45">
        <f t="shared" si="4"/>
        <v>1273.0572324336108</v>
      </c>
      <c r="N45" s="60">
        <f t="shared" si="11"/>
        <v>1357.6285896423772</v>
      </c>
      <c r="O45" s="60">
        <f t="shared" si="12"/>
        <v>0</v>
      </c>
      <c r="P45" s="60">
        <f t="shared" si="5"/>
        <v>0</v>
      </c>
    </row>
    <row r="46" spans="1:16" x14ac:dyDescent="0.25">
      <c r="A46">
        <v>44</v>
      </c>
      <c r="B46" s="60">
        <f t="shared" si="8"/>
        <v>15.394490186381097</v>
      </c>
      <c r="C46" s="62">
        <f t="shared" si="9"/>
        <v>55.42016467097195</v>
      </c>
      <c r="D46">
        <f t="shared" si="0"/>
        <v>2746.0508442976648</v>
      </c>
      <c r="E46">
        <f t="shared" si="14"/>
        <v>60</v>
      </c>
      <c r="F46">
        <f t="shared" si="14"/>
        <v>2</v>
      </c>
      <c r="G46" s="60">
        <f t="shared" si="6"/>
        <v>76.504237100181399</v>
      </c>
      <c r="H46">
        <v>2</v>
      </c>
      <c r="I46" s="60">
        <f t="shared" si="7"/>
        <v>38.2521185500907</v>
      </c>
      <c r="J46" s="61">
        <f t="shared" si="1"/>
        <v>1357.6285896423781</v>
      </c>
      <c r="K46">
        <f t="shared" si="2"/>
        <v>29.400000000000002</v>
      </c>
      <c r="L46" s="60">
        <f t="shared" si="3"/>
        <v>55.171357208766423</v>
      </c>
      <c r="M46">
        <f t="shared" si="4"/>
        <v>1273.0572324336108</v>
      </c>
      <c r="N46" s="60">
        <f t="shared" si="11"/>
        <v>1357.6285896423772</v>
      </c>
      <c r="O46" s="60">
        <f t="shared" si="12"/>
        <v>0</v>
      </c>
      <c r="P46" s="60">
        <f t="shared" si="5"/>
        <v>0</v>
      </c>
    </row>
    <row r="47" spans="1:16" x14ac:dyDescent="0.25">
      <c r="A47">
        <v>45</v>
      </c>
      <c r="B47" s="60">
        <f t="shared" si="8"/>
        <v>15.394490186381097</v>
      </c>
      <c r="C47" s="62">
        <f t="shared" si="9"/>
        <v>55.42016467097195</v>
      </c>
      <c r="D47">
        <f t="shared" si="0"/>
        <v>2746.0508442976648</v>
      </c>
      <c r="E47">
        <f t="shared" si="14"/>
        <v>60</v>
      </c>
      <c r="F47">
        <f t="shared" si="14"/>
        <v>2</v>
      </c>
      <c r="G47" s="60">
        <f t="shared" si="6"/>
        <v>76.504237100181399</v>
      </c>
      <c r="H47">
        <v>2</v>
      </c>
      <c r="I47" s="60">
        <f t="shared" si="7"/>
        <v>38.2521185500907</v>
      </c>
      <c r="J47" s="61">
        <f t="shared" si="1"/>
        <v>1357.6285896423781</v>
      </c>
      <c r="K47">
        <f t="shared" si="2"/>
        <v>29.400000000000002</v>
      </c>
      <c r="L47" s="60">
        <f t="shared" si="3"/>
        <v>55.171357208766423</v>
      </c>
      <c r="M47">
        <f t="shared" si="4"/>
        <v>1273.0572324336108</v>
      </c>
      <c r="N47" s="60">
        <f t="shared" si="11"/>
        <v>1357.6285896423772</v>
      </c>
      <c r="O47" s="60">
        <f t="shared" si="12"/>
        <v>0</v>
      </c>
      <c r="P47" s="60">
        <f t="shared" si="5"/>
        <v>0</v>
      </c>
    </row>
    <row r="48" spans="1:16" x14ac:dyDescent="0.25">
      <c r="A48">
        <v>46</v>
      </c>
      <c r="B48" s="60">
        <f t="shared" si="8"/>
        <v>15.394490186381097</v>
      </c>
      <c r="C48" s="62">
        <f t="shared" si="9"/>
        <v>55.42016467097195</v>
      </c>
      <c r="D48">
        <f t="shared" si="0"/>
        <v>2746.0508442976648</v>
      </c>
      <c r="E48">
        <f t="shared" si="14"/>
        <v>60</v>
      </c>
      <c r="F48">
        <f t="shared" si="14"/>
        <v>2</v>
      </c>
      <c r="G48" s="60">
        <f t="shared" si="6"/>
        <v>76.504237100181399</v>
      </c>
      <c r="H48">
        <v>2</v>
      </c>
      <c r="I48" s="60">
        <f t="shared" si="7"/>
        <v>38.2521185500907</v>
      </c>
      <c r="J48" s="61">
        <f t="shared" si="1"/>
        <v>1357.6285896423781</v>
      </c>
      <c r="K48">
        <f t="shared" si="2"/>
        <v>29.400000000000002</v>
      </c>
      <c r="L48" s="60">
        <f t="shared" si="3"/>
        <v>55.171357208766423</v>
      </c>
      <c r="M48">
        <f t="shared" si="4"/>
        <v>1273.0572324336108</v>
      </c>
      <c r="N48" s="60">
        <f t="shared" si="11"/>
        <v>1357.6285896423772</v>
      </c>
      <c r="O48" s="60">
        <f t="shared" si="12"/>
        <v>0</v>
      </c>
      <c r="P48" s="60">
        <f t="shared" si="5"/>
        <v>0</v>
      </c>
    </row>
    <row r="49" spans="1:16" x14ac:dyDescent="0.25">
      <c r="A49">
        <v>47</v>
      </c>
      <c r="B49" s="60">
        <f t="shared" si="8"/>
        <v>15.394490186381097</v>
      </c>
      <c r="C49" s="62">
        <f t="shared" si="9"/>
        <v>55.42016467097195</v>
      </c>
      <c r="D49">
        <f t="shared" si="0"/>
        <v>2746.0508442976648</v>
      </c>
      <c r="E49">
        <f t="shared" si="14"/>
        <v>60</v>
      </c>
      <c r="F49">
        <f t="shared" si="14"/>
        <v>2</v>
      </c>
      <c r="G49" s="60">
        <f t="shared" si="6"/>
        <v>76.504237100181399</v>
      </c>
      <c r="H49">
        <v>2</v>
      </c>
      <c r="I49" s="60">
        <f t="shared" si="7"/>
        <v>38.2521185500907</v>
      </c>
      <c r="J49" s="61">
        <f t="shared" si="1"/>
        <v>1357.6285896423781</v>
      </c>
      <c r="K49">
        <f t="shared" si="2"/>
        <v>29.400000000000002</v>
      </c>
      <c r="L49" s="60">
        <f t="shared" si="3"/>
        <v>55.171357208766423</v>
      </c>
      <c r="M49">
        <f t="shared" si="4"/>
        <v>1273.0572324336108</v>
      </c>
      <c r="N49" s="60">
        <f t="shared" si="11"/>
        <v>1357.6285896423772</v>
      </c>
      <c r="O49" s="60">
        <f t="shared" si="12"/>
        <v>0</v>
      </c>
      <c r="P49" s="60">
        <f t="shared" si="5"/>
        <v>0</v>
      </c>
    </row>
    <row r="50" spans="1:16" x14ac:dyDescent="0.25">
      <c r="A50">
        <v>48</v>
      </c>
      <c r="B50" s="60">
        <f t="shared" si="8"/>
        <v>15.394490186381097</v>
      </c>
      <c r="C50" s="62">
        <f t="shared" si="9"/>
        <v>55.42016467097195</v>
      </c>
      <c r="D50">
        <f t="shared" si="0"/>
        <v>2746.0508442976648</v>
      </c>
      <c r="E50">
        <f t="shared" si="14"/>
        <v>60</v>
      </c>
      <c r="F50">
        <f t="shared" si="14"/>
        <v>2</v>
      </c>
      <c r="G50" s="60">
        <f t="shared" si="6"/>
        <v>76.504237100181399</v>
      </c>
      <c r="H50">
        <v>2</v>
      </c>
      <c r="I50" s="60">
        <f t="shared" si="7"/>
        <v>38.2521185500907</v>
      </c>
      <c r="J50" s="61">
        <f t="shared" si="1"/>
        <v>1357.6285896423781</v>
      </c>
      <c r="K50">
        <f t="shared" si="2"/>
        <v>29.400000000000002</v>
      </c>
      <c r="L50" s="60">
        <f t="shared" si="3"/>
        <v>55.171357208766423</v>
      </c>
      <c r="M50">
        <f t="shared" si="4"/>
        <v>1273.0572324336108</v>
      </c>
      <c r="N50" s="60">
        <f t="shared" si="11"/>
        <v>1357.6285896423772</v>
      </c>
      <c r="O50" s="60">
        <f t="shared" si="12"/>
        <v>0</v>
      </c>
      <c r="P50" s="60">
        <f t="shared" si="5"/>
        <v>0</v>
      </c>
    </row>
    <row r="51" spans="1:16" x14ac:dyDescent="0.25">
      <c r="A51">
        <v>49</v>
      </c>
      <c r="B51" s="60">
        <f t="shared" si="8"/>
        <v>15.394490186381097</v>
      </c>
      <c r="C51" s="62">
        <f t="shared" si="9"/>
        <v>55.42016467097195</v>
      </c>
      <c r="D51">
        <f t="shared" si="0"/>
        <v>2746.0508442976648</v>
      </c>
      <c r="E51">
        <f t="shared" si="14"/>
        <v>60</v>
      </c>
      <c r="F51">
        <f t="shared" si="14"/>
        <v>2</v>
      </c>
      <c r="G51" s="60">
        <f t="shared" si="6"/>
        <v>76.504237100181399</v>
      </c>
      <c r="H51">
        <v>2</v>
      </c>
      <c r="I51" s="60">
        <f t="shared" si="7"/>
        <v>38.2521185500907</v>
      </c>
      <c r="J51" s="61">
        <f t="shared" si="1"/>
        <v>1357.6285896423781</v>
      </c>
      <c r="K51">
        <f t="shared" si="2"/>
        <v>29.400000000000002</v>
      </c>
      <c r="L51" s="60">
        <f t="shared" si="3"/>
        <v>55.171357208766423</v>
      </c>
      <c r="M51">
        <f t="shared" si="4"/>
        <v>1273.0572324336108</v>
      </c>
      <c r="N51" s="60">
        <f t="shared" si="11"/>
        <v>1357.6285896423772</v>
      </c>
      <c r="O51" s="60">
        <f t="shared" si="12"/>
        <v>0</v>
      </c>
      <c r="P51" s="60">
        <f t="shared" si="5"/>
        <v>0</v>
      </c>
    </row>
    <row r="52" spans="1:16" x14ac:dyDescent="0.25">
      <c r="A52">
        <v>50</v>
      </c>
      <c r="B52" s="60">
        <f t="shared" si="8"/>
        <v>15.394490186381097</v>
      </c>
      <c r="C52" s="62">
        <f t="shared" si="9"/>
        <v>55.42016467097195</v>
      </c>
      <c r="D52">
        <f t="shared" si="0"/>
        <v>2746.0508442976648</v>
      </c>
      <c r="E52">
        <f t="shared" ref="E52:F67" si="15">E51</f>
        <v>60</v>
      </c>
      <c r="F52">
        <f t="shared" si="15"/>
        <v>2</v>
      </c>
      <c r="G52" s="60">
        <f t="shared" si="6"/>
        <v>76.504237100181399</v>
      </c>
      <c r="H52">
        <v>2</v>
      </c>
      <c r="I52" s="60">
        <f t="shared" si="7"/>
        <v>38.2521185500907</v>
      </c>
      <c r="J52" s="61">
        <f t="shared" si="1"/>
        <v>1357.6285896423781</v>
      </c>
      <c r="K52">
        <f t="shared" si="2"/>
        <v>29.400000000000002</v>
      </c>
      <c r="L52" s="60">
        <f t="shared" si="3"/>
        <v>55.171357208766423</v>
      </c>
      <c r="M52">
        <f t="shared" si="4"/>
        <v>1273.0572324336108</v>
      </c>
      <c r="N52" s="60">
        <f t="shared" si="11"/>
        <v>1357.6285896423772</v>
      </c>
      <c r="O52" s="60">
        <f t="shared" si="12"/>
        <v>0</v>
      </c>
      <c r="P52" s="60">
        <f t="shared" si="5"/>
        <v>0</v>
      </c>
    </row>
    <row r="53" spans="1:16" x14ac:dyDescent="0.25">
      <c r="A53">
        <v>51</v>
      </c>
      <c r="B53" s="60">
        <f t="shared" si="8"/>
        <v>15.394490186381097</v>
      </c>
      <c r="C53" s="62">
        <f t="shared" si="9"/>
        <v>55.42016467097195</v>
      </c>
      <c r="D53">
        <f t="shared" si="0"/>
        <v>2746.0508442976648</v>
      </c>
      <c r="E53">
        <f t="shared" si="15"/>
        <v>60</v>
      </c>
      <c r="F53">
        <f t="shared" si="15"/>
        <v>2</v>
      </c>
      <c r="G53" s="60">
        <f t="shared" si="6"/>
        <v>76.504237100181399</v>
      </c>
      <c r="H53">
        <v>2</v>
      </c>
      <c r="I53" s="60">
        <f t="shared" si="7"/>
        <v>38.2521185500907</v>
      </c>
      <c r="J53" s="61">
        <f t="shared" si="1"/>
        <v>1357.6285896423781</v>
      </c>
      <c r="K53">
        <f t="shared" si="2"/>
        <v>29.400000000000002</v>
      </c>
      <c r="L53" s="60">
        <f t="shared" si="3"/>
        <v>55.171357208766423</v>
      </c>
      <c r="M53">
        <f t="shared" si="4"/>
        <v>1273.0572324336108</v>
      </c>
      <c r="N53" s="60">
        <f t="shared" si="11"/>
        <v>1357.6285896423772</v>
      </c>
      <c r="O53" s="60">
        <f t="shared" si="12"/>
        <v>0</v>
      </c>
      <c r="P53" s="60">
        <f t="shared" si="5"/>
        <v>0</v>
      </c>
    </row>
    <row r="54" spans="1:16" x14ac:dyDescent="0.25">
      <c r="A54">
        <v>52</v>
      </c>
      <c r="B54" s="60">
        <f t="shared" si="8"/>
        <v>15.394490186381097</v>
      </c>
      <c r="C54" s="62">
        <f t="shared" si="9"/>
        <v>55.42016467097195</v>
      </c>
      <c r="D54">
        <f t="shared" si="0"/>
        <v>2746.0508442976648</v>
      </c>
      <c r="E54">
        <f t="shared" si="15"/>
        <v>60</v>
      </c>
      <c r="F54">
        <f t="shared" si="15"/>
        <v>2</v>
      </c>
      <c r="G54" s="60">
        <f t="shared" si="6"/>
        <v>76.504237100181399</v>
      </c>
      <c r="H54">
        <v>2</v>
      </c>
      <c r="I54" s="60">
        <f t="shared" si="7"/>
        <v>38.2521185500907</v>
      </c>
      <c r="J54" s="61">
        <f t="shared" si="1"/>
        <v>1357.6285896423781</v>
      </c>
      <c r="K54">
        <f t="shared" si="2"/>
        <v>29.400000000000002</v>
      </c>
      <c r="L54" s="60">
        <f t="shared" si="3"/>
        <v>55.171357208766423</v>
      </c>
      <c r="M54">
        <f t="shared" si="4"/>
        <v>1273.0572324336108</v>
      </c>
      <c r="N54" s="60">
        <f t="shared" si="11"/>
        <v>1357.6285896423772</v>
      </c>
      <c r="O54" s="60">
        <f t="shared" si="12"/>
        <v>0</v>
      </c>
      <c r="P54" s="60">
        <f t="shared" si="5"/>
        <v>0</v>
      </c>
    </row>
    <row r="55" spans="1:16" x14ac:dyDescent="0.25">
      <c r="A55">
        <v>53</v>
      </c>
      <c r="B55" s="60">
        <f t="shared" si="8"/>
        <v>15.394490186381097</v>
      </c>
      <c r="C55" s="62">
        <f t="shared" si="9"/>
        <v>55.42016467097195</v>
      </c>
      <c r="D55">
        <f t="shared" si="0"/>
        <v>2746.0508442976648</v>
      </c>
      <c r="E55">
        <f t="shared" si="15"/>
        <v>60</v>
      </c>
      <c r="F55">
        <f t="shared" si="15"/>
        <v>2</v>
      </c>
      <c r="G55" s="60">
        <f t="shared" si="6"/>
        <v>76.504237100181399</v>
      </c>
      <c r="H55">
        <v>2</v>
      </c>
      <c r="I55" s="60">
        <f t="shared" si="7"/>
        <v>38.2521185500907</v>
      </c>
      <c r="J55" s="61">
        <f t="shared" si="1"/>
        <v>1357.6285896423781</v>
      </c>
      <c r="K55">
        <f t="shared" si="2"/>
        <v>29.400000000000002</v>
      </c>
      <c r="L55" s="60">
        <f t="shared" si="3"/>
        <v>55.171357208766423</v>
      </c>
      <c r="M55">
        <f t="shared" si="4"/>
        <v>1273.0572324336108</v>
      </c>
      <c r="N55" s="60">
        <f t="shared" si="11"/>
        <v>1357.6285896423772</v>
      </c>
      <c r="O55" s="60">
        <f t="shared" si="12"/>
        <v>0</v>
      </c>
      <c r="P55" s="60">
        <f t="shared" si="5"/>
        <v>0</v>
      </c>
    </row>
    <row r="56" spans="1:16" x14ac:dyDescent="0.25">
      <c r="A56">
        <v>54</v>
      </c>
      <c r="B56" s="60">
        <f t="shared" si="8"/>
        <v>15.394490186381097</v>
      </c>
      <c r="C56" s="62">
        <f t="shared" si="9"/>
        <v>55.42016467097195</v>
      </c>
      <c r="D56">
        <f t="shared" si="0"/>
        <v>2746.0508442976648</v>
      </c>
      <c r="E56">
        <f t="shared" si="15"/>
        <v>60</v>
      </c>
      <c r="F56">
        <f t="shared" si="15"/>
        <v>2</v>
      </c>
      <c r="G56" s="60">
        <f t="shared" si="6"/>
        <v>76.504237100181399</v>
      </c>
      <c r="H56">
        <v>2</v>
      </c>
      <c r="I56" s="60">
        <f t="shared" si="7"/>
        <v>38.2521185500907</v>
      </c>
      <c r="J56" s="61">
        <f t="shared" si="1"/>
        <v>1357.6285896423781</v>
      </c>
      <c r="K56">
        <f t="shared" si="2"/>
        <v>29.400000000000002</v>
      </c>
      <c r="L56" s="60">
        <f t="shared" si="3"/>
        <v>55.171357208766423</v>
      </c>
      <c r="M56">
        <f t="shared" si="4"/>
        <v>1273.0572324336108</v>
      </c>
      <c r="N56" s="60">
        <f t="shared" si="11"/>
        <v>1357.6285896423772</v>
      </c>
      <c r="O56" s="60">
        <f t="shared" si="12"/>
        <v>0</v>
      </c>
      <c r="P56" s="60">
        <f t="shared" si="5"/>
        <v>0</v>
      </c>
    </row>
    <row r="57" spans="1:16" x14ac:dyDescent="0.25">
      <c r="A57">
        <v>55</v>
      </c>
      <c r="B57" s="60">
        <f t="shared" si="8"/>
        <v>15.394490186381097</v>
      </c>
      <c r="C57" s="62">
        <f t="shared" si="9"/>
        <v>55.42016467097195</v>
      </c>
      <c r="D57">
        <f t="shared" si="0"/>
        <v>2746.0508442976648</v>
      </c>
      <c r="E57">
        <f t="shared" si="15"/>
        <v>60</v>
      </c>
      <c r="F57">
        <f t="shared" si="15"/>
        <v>2</v>
      </c>
      <c r="G57" s="60">
        <f t="shared" si="6"/>
        <v>76.504237100181399</v>
      </c>
      <c r="H57">
        <v>2</v>
      </c>
      <c r="I57" s="60">
        <f t="shared" si="7"/>
        <v>38.2521185500907</v>
      </c>
      <c r="J57" s="61">
        <f t="shared" si="1"/>
        <v>1357.6285896423781</v>
      </c>
      <c r="K57">
        <f t="shared" si="2"/>
        <v>29.400000000000002</v>
      </c>
      <c r="L57" s="60">
        <f t="shared" si="3"/>
        <v>55.171357208766423</v>
      </c>
      <c r="M57">
        <f t="shared" si="4"/>
        <v>1273.0572324336108</v>
      </c>
      <c r="N57" s="60">
        <f t="shared" si="11"/>
        <v>1357.6285896423772</v>
      </c>
      <c r="O57" s="60">
        <f t="shared" si="12"/>
        <v>0</v>
      </c>
      <c r="P57" s="60">
        <f t="shared" si="5"/>
        <v>0</v>
      </c>
    </row>
    <row r="58" spans="1:16" x14ac:dyDescent="0.25">
      <c r="A58">
        <v>56</v>
      </c>
      <c r="B58" s="60">
        <f t="shared" si="8"/>
        <v>15.394490186381097</v>
      </c>
      <c r="C58" s="62">
        <f t="shared" si="9"/>
        <v>55.42016467097195</v>
      </c>
      <c r="D58">
        <f t="shared" si="0"/>
        <v>2746.0508442976648</v>
      </c>
      <c r="E58">
        <f t="shared" si="15"/>
        <v>60</v>
      </c>
      <c r="F58">
        <f t="shared" si="15"/>
        <v>2</v>
      </c>
      <c r="G58" s="60">
        <f t="shared" si="6"/>
        <v>76.504237100181399</v>
      </c>
      <c r="H58">
        <v>2</v>
      </c>
      <c r="I58" s="60">
        <f t="shared" si="7"/>
        <v>38.2521185500907</v>
      </c>
      <c r="J58" s="61">
        <f t="shared" si="1"/>
        <v>1357.6285896423781</v>
      </c>
      <c r="K58">
        <f t="shared" si="2"/>
        <v>29.400000000000002</v>
      </c>
      <c r="L58" s="60">
        <f t="shared" si="3"/>
        <v>55.171357208766423</v>
      </c>
      <c r="M58">
        <f t="shared" si="4"/>
        <v>1273.0572324336108</v>
      </c>
      <c r="N58" s="60">
        <f t="shared" si="11"/>
        <v>1357.6285896423772</v>
      </c>
      <c r="O58" s="60">
        <f t="shared" si="12"/>
        <v>0</v>
      </c>
      <c r="P58" s="60">
        <f t="shared" si="5"/>
        <v>0</v>
      </c>
    </row>
    <row r="59" spans="1:16" x14ac:dyDescent="0.25">
      <c r="A59">
        <v>57</v>
      </c>
      <c r="B59" s="60">
        <f t="shared" si="8"/>
        <v>15.394490186381097</v>
      </c>
      <c r="C59" s="62">
        <f t="shared" si="9"/>
        <v>55.42016467097195</v>
      </c>
      <c r="D59">
        <f t="shared" si="0"/>
        <v>2746.0508442976648</v>
      </c>
      <c r="E59">
        <f t="shared" si="15"/>
        <v>60</v>
      </c>
      <c r="F59">
        <f t="shared" si="15"/>
        <v>2</v>
      </c>
      <c r="G59" s="60">
        <f t="shared" si="6"/>
        <v>76.504237100181399</v>
      </c>
      <c r="H59">
        <v>2</v>
      </c>
      <c r="I59" s="60">
        <f t="shared" si="7"/>
        <v>38.2521185500907</v>
      </c>
      <c r="J59" s="61">
        <f t="shared" si="1"/>
        <v>1357.6285896423781</v>
      </c>
      <c r="K59">
        <f t="shared" si="2"/>
        <v>29.400000000000002</v>
      </c>
      <c r="L59" s="60">
        <f t="shared" si="3"/>
        <v>55.171357208766423</v>
      </c>
      <c r="M59">
        <f t="shared" si="4"/>
        <v>1273.0572324336108</v>
      </c>
      <c r="N59" s="60">
        <f t="shared" si="11"/>
        <v>1357.6285896423772</v>
      </c>
      <c r="O59" s="60">
        <f t="shared" si="12"/>
        <v>0</v>
      </c>
      <c r="P59" s="60">
        <f t="shared" si="5"/>
        <v>0</v>
      </c>
    </row>
    <row r="60" spans="1:16" x14ac:dyDescent="0.25">
      <c r="A60">
        <v>58</v>
      </c>
      <c r="B60" s="60">
        <f t="shared" si="8"/>
        <v>15.394490186381097</v>
      </c>
      <c r="C60" s="62">
        <f t="shared" si="9"/>
        <v>55.42016467097195</v>
      </c>
      <c r="D60">
        <f t="shared" si="0"/>
        <v>2746.0508442976648</v>
      </c>
      <c r="E60">
        <f t="shared" si="15"/>
        <v>60</v>
      </c>
      <c r="F60">
        <f t="shared" si="15"/>
        <v>2</v>
      </c>
      <c r="G60" s="60">
        <f t="shared" si="6"/>
        <v>76.504237100181399</v>
      </c>
      <c r="H60">
        <v>2</v>
      </c>
      <c r="I60" s="60">
        <f t="shared" si="7"/>
        <v>38.2521185500907</v>
      </c>
      <c r="J60" s="61">
        <f t="shared" si="1"/>
        <v>1357.6285896423781</v>
      </c>
      <c r="K60">
        <f t="shared" si="2"/>
        <v>29.400000000000002</v>
      </c>
      <c r="L60" s="60">
        <f t="shared" si="3"/>
        <v>55.171357208766423</v>
      </c>
      <c r="M60">
        <f t="shared" si="4"/>
        <v>1273.0572324336108</v>
      </c>
      <c r="N60" s="60">
        <f t="shared" si="11"/>
        <v>1357.6285896423772</v>
      </c>
      <c r="O60" s="60">
        <f t="shared" si="12"/>
        <v>0</v>
      </c>
      <c r="P60" s="60">
        <f t="shared" si="5"/>
        <v>0</v>
      </c>
    </row>
    <row r="61" spans="1:16" x14ac:dyDescent="0.25">
      <c r="A61">
        <v>59</v>
      </c>
      <c r="B61" s="60">
        <f t="shared" si="8"/>
        <v>15.394490186381097</v>
      </c>
      <c r="C61" s="62">
        <f t="shared" si="9"/>
        <v>55.42016467097195</v>
      </c>
      <c r="D61">
        <f t="shared" si="0"/>
        <v>2746.0508442976648</v>
      </c>
      <c r="E61">
        <f t="shared" si="15"/>
        <v>60</v>
      </c>
      <c r="F61">
        <f t="shared" si="15"/>
        <v>2</v>
      </c>
      <c r="G61" s="60">
        <f t="shared" si="6"/>
        <v>76.504237100181399</v>
      </c>
      <c r="H61">
        <v>2</v>
      </c>
      <c r="I61" s="60">
        <f t="shared" si="7"/>
        <v>38.2521185500907</v>
      </c>
      <c r="J61" s="61">
        <f t="shared" si="1"/>
        <v>1357.6285896423781</v>
      </c>
      <c r="K61">
        <f t="shared" si="2"/>
        <v>29.400000000000002</v>
      </c>
      <c r="L61" s="60">
        <f t="shared" si="3"/>
        <v>55.171357208766423</v>
      </c>
      <c r="M61">
        <f t="shared" si="4"/>
        <v>1273.0572324336108</v>
      </c>
      <c r="N61" s="60">
        <f t="shared" si="11"/>
        <v>1357.6285896423772</v>
      </c>
      <c r="O61" s="60">
        <f t="shared" si="12"/>
        <v>0</v>
      </c>
      <c r="P61" s="60">
        <f t="shared" si="5"/>
        <v>0</v>
      </c>
    </row>
    <row r="62" spans="1:16" x14ac:dyDescent="0.25">
      <c r="A62">
        <v>60</v>
      </c>
      <c r="B62" s="60">
        <f t="shared" si="8"/>
        <v>15.394490186381097</v>
      </c>
      <c r="C62" s="62">
        <f t="shared" si="9"/>
        <v>55.42016467097195</v>
      </c>
      <c r="D62">
        <f t="shared" si="0"/>
        <v>2746.0508442976648</v>
      </c>
      <c r="E62">
        <f t="shared" si="15"/>
        <v>60</v>
      </c>
      <c r="F62">
        <f t="shared" si="15"/>
        <v>2</v>
      </c>
      <c r="G62" s="60">
        <f t="shared" si="6"/>
        <v>76.504237100181399</v>
      </c>
      <c r="H62">
        <v>2</v>
      </c>
      <c r="I62" s="60">
        <f t="shared" si="7"/>
        <v>38.2521185500907</v>
      </c>
      <c r="J62" s="61">
        <f t="shared" si="1"/>
        <v>1357.6285896423781</v>
      </c>
      <c r="K62">
        <f t="shared" si="2"/>
        <v>29.400000000000002</v>
      </c>
      <c r="L62" s="60">
        <f t="shared" si="3"/>
        <v>55.171357208766423</v>
      </c>
      <c r="M62">
        <f t="shared" si="4"/>
        <v>1273.0572324336108</v>
      </c>
      <c r="N62" s="60">
        <f t="shared" si="11"/>
        <v>1357.6285896423772</v>
      </c>
      <c r="O62" s="60">
        <f t="shared" si="12"/>
        <v>0</v>
      </c>
      <c r="P62" s="60">
        <f t="shared" si="5"/>
        <v>0</v>
      </c>
    </row>
    <row r="63" spans="1:16" x14ac:dyDescent="0.25">
      <c r="A63">
        <v>61</v>
      </c>
      <c r="B63" s="60">
        <f t="shared" si="8"/>
        <v>15.394490186381097</v>
      </c>
      <c r="C63" s="62">
        <f t="shared" si="9"/>
        <v>55.42016467097195</v>
      </c>
      <c r="D63">
        <f t="shared" si="0"/>
        <v>2746.0508442976648</v>
      </c>
      <c r="E63">
        <f t="shared" si="15"/>
        <v>60</v>
      </c>
      <c r="F63">
        <f t="shared" si="15"/>
        <v>2</v>
      </c>
      <c r="G63" s="60">
        <f t="shared" si="6"/>
        <v>76.504237100181399</v>
      </c>
      <c r="H63">
        <v>2</v>
      </c>
      <c r="I63" s="60">
        <f t="shared" si="7"/>
        <v>38.2521185500907</v>
      </c>
      <c r="J63" s="61">
        <f t="shared" si="1"/>
        <v>1357.6285896423781</v>
      </c>
      <c r="K63">
        <f t="shared" si="2"/>
        <v>29.400000000000002</v>
      </c>
      <c r="L63" s="60">
        <f t="shared" si="3"/>
        <v>55.171357208766423</v>
      </c>
      <c r="M63">
        <f t="shared" si="4"/>
        <v>1273.0572324336108</v>
      </c>
      <c r="N63" s="60">
        <f t="shared" si="11"/>
        <v>1357.6285896423772</v>
      </c>
      <c r="O63" s="60">
        <f t="shared" si="12"/>
        <v>0</v>
      </c>
      <c r="P63" s="60">
        <f t="shared" si="5"/>
        <v>0</v>
      </c>
    </row>
    <row r="64" spans="1:16" x14ac:dyDescent="0.25">
      <c r="A64">
        <v>62</v>
      </c>
      <c r="B64" s="60">
        <f t="shared" si="8"/>
        <v>15.394490186381097</v>
      </c>
      <c r="C64" s="62">
        <f t="shared" si="9"/>
        <v>55.42016467097195</v>
      </c>
      <c r="D64">
        <f t="shared" si="0"/>
        <v>2746.0508442976648</v>
      </c>
      <c r="E64">
        <f t="shared" si="15"/>
        <v>60</v>
      </c>
      <c r="F64">
        <f t="shared" si="15"/>
        <v>2</v>
      </c>
      <c r="G64" s="60">
        <f t="shared" si="6"/>
        <v>76.504237100181399</v>
      </c>
      <c r="H64">
        <v>2</v>
      </c>
      <c r="I64" s="60">
        <f t="shared" si="7"/>
        <v>38.2521185500907</v>
      </c>
      <c r="J64" s="61">
        <f t="shared" si="1"/>
        <v>1357.6285896423781</v>
      </c>
      <c r="K64">
        <f t="shared" si="2"/>
        <v>29.400000000000002</v>
      </c>
      <c r="L64" s="60">
        <f t="shared" si="3"/>
        <v>55.171357208766423</v>
      </c>
      <c r="M64">
        <f t="shared" si="4"/>
        <v>1273.0572324336108</v>
      </c>
      <c r="N64" s="60">
        <f t="shared" si="11"/>
        <v>1357.6285896423772</v>
      </c>
      <c r="O64" s="60">
        <f t="shared" si="12"/>
        <v>0</v>
      </c>
      <c r="P64" s="60">
        <f t="shared" si="5"/>
        <v>0</v>
      </c>
    </row>
    <row r="65" spans="1:16" x14ac:dyDescent="0.25">
      <c r="A65">
        <v>63</v>
      </c>
      <c r="B65" s="60">
        <f t="shared" si="8"/>
        <v>15.394490186381097</v>
      </c>
      <c r="C65" s="62">
        <f t="shared" si="9"/>
        <v>55.42016467097195</v>
      </c>
      <c r="D65">
        <f t="shared" si="0"/>
        <v>2746.0508442976648</v>
      </c>
      <c r="E65">
        <f t="shared" si="15"/>
        <v>60</v>
      </c>
      <c r="F65">
        <f t="shared" si="15"/>
        <v>2</v>
      </c>
      <c r="G65" s="60">
        <f t="shared" si="6"/>
        <v>76.504237100181399</v>
      </c>
      <c r="H65">
        <v>2</v>
      </c>
      <c r="I65" s="60">
        <f t="shared" si="7"/>
        <v>38.2521185500907</v>
      </c>
      <c r="J65" s="61">
        <f t="shared" si="1"/>
        <v>1357.6285896423781</v>
      </c>
      <c r="K65">
        <f t="shared" si="2"/>
        <v>29.400000000000002</v>
      </c>
      <c r="L65" s="60">
        <f t="shared" si="3"/>
        <v>55.171357208766423</v>
      </c>
      <c r="M65">
        <f t="shared" si="4"/>
        <v>1273.0572324336108</v>
      </c>
      <c r="N65" s="60">
        <f t="shared" si="11"/>
        <v>1357.6285896423772</v>
      </c>
      <c r="O65" s="60">
        <f t="shared" si="12"/>
        <v>0</v>
      </c>
      <c r="P65" s="60">
        <f t="shared" si="5"/>
        <v>0</v>
      </c>
    </row>
    <row r="66" spans="1:16" x14ac:dyDescent="0.25">
      <c r="A66">
        <v>64</v>
      </c>
      <c r="B66" s="60">
        <f t="shared" si="8"/>
        <v>15.394490186381097</v>
      </c>
      <c r="C66" s="62">
        <f t="shared" si="9"/>
        <v>55.42016467097195</v>
      </c>
      <c r="D66">
        <f t="shared" ref="D66:D129" si="16">(C66*GearRatio)/(2*PI()*WheelRadius*0.001*60)</f>
        <v>2746.0508442976648</v>
      </c>
      <c r="E66">
        <f t="shared" si="15"/>
        <v>60</v>
      </c>
      <c r="F66">
        <f t="shared" si="15"/>
        <v>2</v>
      </c>
      <c r="G66" s="60">
        <f t="shared" si="6"/>
        <v>76.504237100181399</v>
      </c>
      <c r="H66">
        <v>2</v>
      </c>
      <c r="I66" s="60">
        <f t="shared" si="7"/>
        <v>38.2521185500907</v>
      </c>
      <c r="J66" s="61">
        <f t="shared" ref="J66:J129" si="17">(G66*GearRatio*GearEfficency)/WheelRadius</f>
        <v>1357.6285896423781</v>
      </c>
      <c r="K66">
        <f t="shared" ref="K66:K129" si="18">Froll</f>
        <v>29.400000000000002</v>
      </c>
      <c r="L66" s="60">
        <f t="shared" ref="L66:L129" si="19">Cd*Density*Area*C66*C66*0.03858025308642</f>
        <v>55.171357208766423</v>
      </c>
      <c r="M66">
        <f t="shared" ref="M66:M129" si="20">(KerbWeight+LoadWeight)*9.8*SIN(E66*0.01745329)</f>
        <v>1273.0572324336108</v>
      </c>
      <c r="N66" s="60">
        <f t="shared" si="11"/>
        <v>1357.6285896423772</v>
      </c>
      <c r="O66" s="60">
        <f t="shared" si="12"/>
        <v>0</v>
      </c>
      <c r="P66" s="60">
        <f t="shared" ref="P66:P129" si="21">O66/(KerbWeight+LoadWeight)</f>
        <v>0</v>
      </c>
    </row>
    <row r="67" spans="1:16" x14ac:dyDescent="0.25">
      <c r="A67">
        <v>65</v>
      </c>
      <c r="B67" s="60">
        <f t="shared" si="8"/>
        <v>15.394490186381097</v>
      </c>
      <c r="C67" s="62">
        <f t="shared" si="9"/>
        <v>55.42016467097195</v>
      </c>
      <c r="D67">
        <f t="shared" si="16"/>
        <v>2746.0508442976648</v>
      </c>
      <c r="E67">
        <f t="shared" si="15"/>
        <v>60</v>
      </c>
      <c r="F67">
        <f t="shared" si="15"/>
        <v>2</v>
      </c>
      <c r="G67" s="60">
        <f t="shared" ref="G67:G130" si="22">IF((F67=2),(IF((D67&lt;2000),(52*2),((2*11000*60)/(2*PI()*D67)))),(IF((D67&lt;2000),(30*2),((2*6000*60)/(2*PI()*D67)))))</f>
        <v>76.504237100181399</v>
      </c>
      <c r="H67">
        <v>2</v>
      </c>
      <c r="I67" s="60">
        <f t="shared" ref="I67:I130" si="23">G67/H67</f>
        <v>38.2521185500907</v>
      </c>
      <c r="J67" s="61">
        <f t="shared" si="17"/>
        <v>1357.6285896423781</v>
      </c>
      <c r="K67">
        <f t="shared" si="18"/>
        <v>29.400000000000002</v>
      </c>
      <c r="L67" s="60">
        <f t="shared" si="19"/>
        <v>55.171357208766423</v>
      </c>
      <c r="M67">
        <f t="shared" si="20"/>
        <v>1273.0572324336108</v>
      </c>
      <c r="N67" s="60">
        <f t="shared" si="11"/>
        <v>1357.6285896423772</v>
      </c>
      <c r="O67" s="60">
        <f t="shared" si="12"/>
        <v>0</v>
      </c>
      <c r="P67" s="60">
        <f t="shared" si="21"/>
        <v>0</v>
      </c>
    </row>
    <row r="68" spans="1:16" x14ac:dyDescent="0.25">
      <c r="A68">
        <v>66</v>
      </c>
      <c r="B68" s="60">
        <f t="shared" ref="B68:B131" si="24">B67+(P67*(A68-A67))</f>
        <v>15.394490186381097</v>
      </c>
      <c r="C68" s="62">
        <f t="shared" ref="C68:C131" si="25">B68*3.6</f>
        <v>55.42016467097195</v>
      </c>
      <c r="D68">
        <f t="shared" si="16"/>
        <v>2746.0508442976648</v>
      </c>
      <c r="E68">
        <f t="shared" ref="E68:F83" si="26">E67</f>
        <v>60</v>
      </c>
      <c r="F68">
        <f t="shared" si="26"/>
        <v>2</v>
      </c>
      <c r="G68" s="60">
        <f t="shared" si="22"/>
        <v>76.504237100181399</v>
      </c>
      <c r="H68">
        <v>2</v>
      </c>
      <c r="I68" s="60">
        <f t="shared" si="23"/>
        <v>38.2521185500907</v>
      </c>
      <c r="J68" s="61">
        <f t="shared" si="17"/>
        <v>1357.6285896423781</v>
      </c>
      <c r="K68">
        <f t="shared" si="18"/>
        <v>29.400000000000002</v>
      </c>
      <c r="L68" s="60">
        <f t="shared" si="19"/>
        <v>55.171357208766423</v>
      </c>
      <c r="M68">
        <f t="shared" si="20"/>
        <v>1273.0572324336108</v>
      </c>
      <c r="N68" s="60">
        <f t="shared" ref="N68:N131" si="27">K68+L68+M68</f>
        <v>1357.6285896423772</v>
      </c>
      <c r="O68" s="60">
        <f t="shared" ref="O68:O131" si="28">J68-N68</f>
        <v>0</v>
      </c>
      <c r="P68" s="60">
        <f t="shared" si="21"/>
        <v>0</v>
      </c>
    </row>
    <row r="69" spans="1:16" x14ac:dyDescent="0.25">
      <c r="A69">
        <v>67</v>
      </c>
      <c r="B69" s="60">
        <f t="shared" si="24"/>
        <v>15.394490186381097</v>
      </c>
      <c r="C69" s="62">
        <f t="shared" si="25"/>
        <v>55.42016467097195</v>
      </c>
      <c r="D69">
        <f t="shared" si="16"/>
        <v>2746.0508442976648</v>
      </c>
      <c r="E69">
        <f t="shared" si="26"/>
        <v>60</v>
      </c>
      <c r="F69">
        <f t="shared" si="26"/>
        <v>2</v>
      </c>
      <c r="G69" s="60">
        <f t="shared" si="22"/>
        <v>76.504237100181399</v>
      </c>
      <c r="H69">
        <v>2</v>
      </c>
      <c r="I69" s="60">
        <f t="shared" si="23"/>
        <v>38.2521185500907</v>
      </c>
      <c r="J69" s="61">
        <f t="shared" si="17"/>
        <v>1357.6285896423781</v>
      </c>
      <c r="K69">
        <f t="shared" si="18"/>
        <v>29.400000000000002</v>
      </c>
      <c r="L69" s="60">
        <f t="shared" si="19"/>
        <v>55.171357208766423</v>
      </c>
      <c r="M69">
        <f t="shared" si="20"/>
        <v>1273.0572324336108</v>
      </c>
      <c r="N69" s="60">
        <f t="shared" si="27"/>
        <v>1357.6285896423772</v>
      </c>
      <c r="O69" s="60">
        <f t="shared" si="28"/>
        <v>0</v>
      </c>
      <c r="P69" s="60">
        <f t="shared" si="21"/>
        <v>0</v>
      </c>
    </row>
    <row r="70" spans="1:16" x14ac:dyDescent="0.25">
      <c r="A70">
        <v>68</v>
      </c>
      <c r="B70" s="60">
        <f t="shared" si="24"/>
        <v>15.394490186381097</v>
      </c>
      <c r="C70" s="62">
        <f t="shared" si="25"/>
        <v>55.42016467097195</v>
      </c>
      <c r="D70">
        <f t="shared" si="16"/>
        <v>2746.0508442976648</v>
      </c>
      <c r="E70">
        <f t="shared" si="26"/>
        <v>60</v>
      </c>
      <c r="F70">
        <f t="shared" si="26"/>
        <v>2</v>
      </c>
      <c r="G70" s="60">
        <f t="shared" si="22"/>
        <v>76.504237100181399</v>
      </c>
      <c r="H70">
        <v>2</v>
      </c>
      <c r="I70" s="60">
        <f t="shared" si="23"/>
        <v>38.2521185500907</v>
      </c>
      <c r="J70" s="61">
        <f t="shared" si="17"/>
        <v>1357.6285896423781</v>
      </c>
      <c r="K70">
        <f t="shared" si="18"/>
        <v>29.400000000000002</v>
      </c>
      <c r="L70" s="60">
        <f t="shared" si="19"/>
        <v>55.171357208766423</v>
      </c>
      <c r="M70">
        <f t="shared" si="20"/>
        <v>1273.0572324336108</v>
      </c>
      <c r="N70" s="60">
        <f t="shared" si="27"/>
        <v>1357.6285896423772</v>
      </c>
      <c r="O70" s="60">
        <f t="shared" si="28"/>
        <v>0</v>
      </c>
      <c r="P70" s="60">
        <f t="shared" si="21"/>
        <v>0</v>
      </c>
    </row>
    <row r="71" spans="1:16" x14ac:dyDescent="0.25">
      <c r="A71">
        <v>69</v>
      </c>
      <c r="B71" s="60">
        <f t="shared" si="24"/>
        <v>15.394490186381097</v>
      </c>
      <c r="C71" s="62">
        <f t="shared" si="25"/>
        <v>55.42016467097195</v>
      </c>
      <c r="D71">
        <f t="shared" si="16"/>
        <v>2746.0508442976648</v>
      </c>
      <c r="E71">
        <f t="shared" si="26"/>
        <v>60</v>
      </c>
      <c r="F71">
        <f t="shared" si="26"/>
        <v>2</v>
      </c>
      <c r="G71" s="60">
        <f t="shared" si="22"/>
        <v>76.504237100181399</v>
      </c>
      <c r="H71">
        <v>2</v>
      </c>
      <c r="I71" s="60">
        <f t="shared" si="23"/>
        <v>38.2521185500907</v>
      </c>
      <c r="J71" s="61">
        <f t="shared" si="17"/>
        <v>1357.6285896423781</v>
      </c>
      <c r="K71">
        <f t="shared" si="18"/>
        <v>29.400000000000002</v>
      </c>
      <c r="L71" s="60">
        <f t="shared" si="19"/>
        <v>55.171357208766423</v>
      </c>
      <c r="M71">
        <f t="shared" si="20"/>
        <v>1273.0572324336108</v>
      </c>
      <c r="N71" s="60">
        <f t="shared" si="27"/>
        <v>1357.6285896423772</v>
      </c>
      <c r="O71" s="60">
        <f t="shared" si="28"/>
        <v>0</v>
      </c>
      <c r="P71" s="60">
        <f t="shared" si="21"/>
        <v>0</v>
      </c>
    </row>
    <row r="72" spans="1:16" x14ac:dyDescent="0.25">
      <c r="A72">
        <v>70</v>
      </c>
      <c r="B72" s="60">
        <f t="shared" si="24"/>
        <v>15.394490186381097</v>
      </c>
      <c r="C72" s="62">
        <f t="shared" si="25"/>
        <v>55.42016467097195</v>
      </c>
      <c r="D72">
        <f t="shared" si="16"/>
        <v>2746.0508442976648</v>
      </c>
      <c r="E72">
        <f t="shared" si="26"/>
        <v>60</v>
      </c>
      <c r="F72">
        <f t="shared" si="26"/>
        <v>2</v>
      </c>
      <c r="G72" s="60">
        <f t="shared" si="22"/>
        <v>76.504237100181399</v>
      </c>
      <c r="H72">
        <v>2</v>
      </c>
      <c r="I72" s="60">
        <f t="shared" si="23"/>
        <v>38.2521185500907</v>
      </c>
      <c r="J72" s="61">
        <f t="shared" si="17"/>
        <v>1357.6285896423781</v>
      </c>
      <c r="K72">
        <f t="shared" si="18"/>
        <v>29.400000000000002</v>
      </c>
      <c r="L72" s="60">
        <f t="shared" si="19"/>
        <v>55.171357208766423</v>
      </c>
      <c r="M72">
        <f t="shared" si="20"/>
        <v>1273.0572324336108</v>
      </c>
      <c r="N72" s="60">
        <f t="shared" si="27"/>
        <v>1357.6285896423772</v>
      </c>
      <c r="O72" s="60">
        <f t="shared" si="28"/>
        <v>0</v>
      </c>
      <c r="P72" s="60">
        <f t="shared" si="21"/>
        <v>0</v>
      </c>
    </row>
    <row r="73" spans="1:16" x14ac:dyDescent="0.25">
      <c r="A73">
        <v>71</v>
      </c>
      <c r="B73" s="60">
        <f t="shared" si="24"/>
        <v>15.394490186381097</v>
      </c>
      <c r="C73" s="62">
        <f t="shared" si="25"/>
        <v>55.42016467097195</v>
      </c>
      <c r="D73">
        <f t="shared" si="16"/>
        <v>2746.0508442976648</v>
      </c>
      <c r="E73">
        <f t="shared" si="26"/>
        <v>60</v>
      </c>
      <c r="F73">
        <f t="shared" si="26"/>
        <v>2</v>
      </c>
      <c r="G73" s="60">
        <f t="shared" si="22"/>
        <v>76.504237100181399</v>
      </c>
      <c r="H73">
        <v>2</v>
      </c>
      <c r="I73" s="60">
        <f t="shared" si="23"/>
        <v>38.2521185500907</v>
      </c>
      <c r="J73" s="61">
        <f t="shared" si="17"/>
        <v>1357.6285896423781</v>
      </c>
      <c r="K73">
        <f t="shared" si="18"/>
        <v>29.400000000000002</v>
      </c>
      <c r="L73" s="60">
        <f t="shared" si="19"/>
        <v>55.171357208766423</v>
      </c>
      <c r="M73">
        <f t="shared" si="20"/>
        <v>1273.0572324336108</v>
      </c>
      <c r="N73" s="60">
        <f t="shared" si="27"/>
        <v>1357.6285896423772</v>
      </c>
      <c r="O73" s="60">
        <f t="shared" si="28"/>
        <v>0</v>
      </c>
      <c r="P73" s="60">
        <f t="shared" si="21"/>
        <v>0</v>
      </c>
    </row>
    <row r="74" spans="1:16" x14ac:dyDescent="0.25">
      <c r="A74">
        <v>72</v>
      </c>
      <c r="B74" s="60">
        <f t="shared" si="24"/>
        <v>15.394490186381097</v>
      </c>
      <c r="C74" s="62">
        <f t="shared" si="25"/>
        <v>55.42016467097195</v>
      </c>
      <c r="D74">
        <f t="shared" si="16"/>
        <v>2746.0508442976648</v>
      </c>
      <c r="E74">
        <f t="shared" si="26"/>
        <v>60</v>
      </c>
      <c r="F74">
        <f t="shared" si="26"/>
        <v>2</v>
      </c>
      <c r="G74" s="60">
        <f t="shared" si="22"/>
        <v>76.504237100181399</v>
      </c>
      <c r="H74">
        <v>2</v>
      </c>
      <c r="I74" s="60">
        <f t="shared" si="23"/>
        <v>38.2521185500907</v>
      </c>
      <c r="J74" s="61">
        <f t="shared" si="17"/>
        <v>1357.6285896423781</v>
      </c>
      <c r="K74">
        <f t="shared" si="18"/>
        <v>29.400000000000002</v>
      </c>
      <c r="L74" s="60">
        <f t="shared" si="19"/>
        <v>55.171357208766423</v>
      </c>
      <c r="M74">
        <f t="shared" si="20"/>
        <v>1273.0572324336108</v>
      </c>
      <c r="N74" s="60">
        <f t="shared" si="27"/>
        <v>1357.6285896423772</v>
      </c>
      <c r="O74" s="60">
        <f t="shared" si="28"/>
        <v>0</v>
      </c>
      <c r="P74" s="60">
        <f t="shared" si="21"/>
        <v>0</v>
      </c>
    </row>
    <row r="75" spans="1:16" x14ac:dyDescent="0.25">
      <c r="A75">
        <v>73</v>
      </c>
      <c r="B75" s="60">
        <f t="shared" si="24"/>
        <v>15.394490186381097</v>
      </c>
      <c r="C75" s="62">
        <f t="shared" si="25"/>
        <v>55.42016467097195</v>
      </c>
      <c r="D75">
        <f t="shared" si="16"/>
        <v>2746.0508442976648</v>
      </c>
      <c r="E75">
        <f t="shared" si="26"/>
        <v>60</v>
      </c>
      <c r="F75">
        <f t="shared" si="26"/>
        <v>2</v>
      </c>
      <c r="G75" s="60">
        <f t="shared" si="22"/>
        <v>76.504237100181399</v>
      </c>
      <c r="H75">
        <v>2</v>
      </c>
      <c r="I75" s="60">
        <f t="shared" si="23"/>
        <v>38.2521185500907</v>
      </c>
      <c r="J75" s="61">
        <f t="shared" si="17"/>
        <v>1357.6285896423781</v>
      </c>
      <c r="K75">
        <f t="shared" si="18"/>
        <v>29.400000000000002</v>
      </c>
      <c r="L75" s="60">
        <f t="shared" si="19"/>
        <v>55.171357208766423</v>
      </c>
      <c r="M75">
        <f t="shared" si="20"/>
        <v>1273.0572324336108</v>
      </c>
      <c r="N75" s="60">
        <f t="shared" si="27"/>
        <v>1357.6285896423772</v>
      </c>
      <c r="O75" s="60">
        <f t="shared" si="28"/>
        <v>0</v>
      </c>
      <c r="P75" s="60">
        <f t="shared" si="21"/>
        <v>0</v>
      </c>
    </row>
    <row r="76" spans="1:16" x14ac:dyDescent="0.25">
      <c r="A76">
        <v>74</v>
      </c>
      <c r="B76" s="60">
        <f t="shared" si="24"/>
        <v>15.394490186381097</v>
      </c>
      <c r="C76" s="62">
        <f t="shared" si="25"/>
        <v>55.42016467097195</v>
      </c>
      <c r="D76">
        <f t="shared" si="16"/>
        <v>2746.0508442976648</v>
      </c>
      <c r="E76">
        <f t="shared" si="26"/>
        <v>60</v>
      </c>
      <c r="F76">
        <f t="shared" si="26"/>
        <v>2</v>
      </c>
      <c r="G76" s="60">
        <f t="shared" si="22"/>
        <v>76.504237100181399</v>
      </c>
      <c r="H76">
        <v>2</v>
      </c>
      <c r="I76" s="60">
        <f t="shared" si="23"/>
        <v>38.2521185500907</v>
      </c>
      <c r="J76" s="61">
        <f t="shared" si="17"/>
        <v>1357.6285896423781</v>
      </c>
      <c r="K76">
        <f t="shared" si="18"/>
        <v>29.400000000000002</v>
      </c>
      <c r="L76" s="60">
        <f t="shared" si="19"/>
        <v>55.171357208766423</v>
      </c>
      <c r="M76">
        <f t="shared" si="20"/>
        <v>1273.0572324336108</v>
      </c>
      <c r="N76" s="60">
        <f t="shared" si="27"/>
        <v>1357.6285896423772</v>
      </c>
      <c r="O76" s="60">
        <f t="shared" si="28"/>
        <v>0</v>
      </c>
      <c r="P76" s="60">
        <f t="shared" si="21"/>
        <v>0</v>
      </c>
    </row>
    <row r="77" spans="1:16" x14ac:dyDescent="0.25">
      <c r="A77">
        <v>75</v>
      </c>
      <c r="B77" s="60">
        <f t="shared" si="24"/>
        <v>15.394490186381097</v>
      </c>
      <c r="C77" s="62">
        <f t="shared" si="25"/>
        <v>55.42016467097195</v>
      </c>
      <c r="D77">
        <f t="shared" si="16"/>
        <v>2746.0508442976648</v>
      </c>
      <c r="E77">
        <f t="shared" si="26"/>
        <v>60</v>
      </c>
      <c r="F77">
        <f t="shared" si="26"/>
        <v>2</v>
      </c>
      <c r="G77" s="60">
        <f t="shared" si="22"/>
        <v>76.504237100181399</v>
      </c>
      <c r="H77">
        <v>2</v>
      </c>
      <c r="I77" s="60">
        <f t="shared" si="23"/>
        <v>38.2521185500907</v>
      </c>
      <c r="J77" s="61">
        <f t="shared" si="17"/>
        <v>1357.6285896423781</v>
      </c>
      <c r="K77">
        <f t="shared" si="18"/>
        <v>29.400000000000002</v>
      </c>
      <c r="L77" s="60">
        <f t="shared" si="19"/>
        <v>55.171357208766423</v>
      </c>
      <c r="M77">
        <f t="shared" si="20"/>
        <v>1273.0572324336108</v>
      </c>
      <c r="N77" s="60">
        <f t="shared" si="27"/>
        <v>1357.6285896423772</v>
      </c>
      <c r="O77" s="60">
        <f t="shared" si="28"/>
        <v>0</v>
      </c>
      <c r="P77" s="60">
        <f t="shared" si="21"/>
        <v>0</v>
      </c>
    </row>
    <row r="78" spans="1:16" x14ac:dyDescent="0.25">
      <c r="A78">
        <v>76</v>
      </c>
      <c r="B78" s="60">
        <f t="shared" si="24"/>
        <v>15.394490186381097</v>
      </c>
      <c r="C78" s="62">
        <f t="shared" si="25"/>
        <v>55.42016467097195</v>
      </c>
      <c r="D78">
        <f t="shared" si="16"/>
        <v>2746.0508442976648</v>
      </c>
      <c r="E78">
        <f t="shared" si="26"/>
        <v>60</v>
      </c>
      <c r="F78">
        <f t="shared" si="26"/>
        <v>2</v>
      </c>
      <c r="G78" s="60">
        <f t="shared" si="22"/>
        <v>76.504237100181399</v>
      </c>
      <c r="H78">
        <v>2</v>
      </c>
      <c r="I78" s="60">
        <f t="shared" si="23"/>
        <v>38.2521185500907</v>
      </c>
      <c r="J78" s="61">
        <f t="shared" si="17"/>
        <v>1357.6285896423781</v>
      </c>
      <c r="K78">
        <f t="shared" si="18"/>
        <v>29.400000000000002</v>
      </c>
      <c r="L78" s="60">
        <f t="shared" si="19"/>
        <v>55.171357208766423</v>
      </c>
      <c r="M78">
        <f t="shared" si="20"/>
        <v>1273.0572324336108</v>
      </c>
      <c r="N78" s="60">
        <f t="shared" si="27"/>
        <v>1357.6285896423772</v>
      </c>
      <c r="O78" s="60">
        <f t="shared" si="28"/>
        <v>0</v>
      </c>
      <c r="P78" s="60">
        <f t="shared" si="21"/>
        <v>0</v>
      </c>
    </row>
    <row r="79" spans="1:16" x14ac:dyDescent="0.25">
      <c r="A79">
        <v>77</v>
      </c>
      <c r="B79" s="60">
        <f t="shared" si="24"/>
        <v>15.394490186381097</v>
      </c>
      <c r="C79" s="62">
        <f t="shared" si="25"/>
        <v>55.42016467097195</v>
      </c>
      <c r="D79">
        <f t="shared" si="16"/>
        <v>2746.0508442976648</v>
      </c>
      <c r="E79">
        <f t="shared" si="26"/>
        <v>60</v>
      </c>
      <c r="F79">
        <f t="shared" si="26"/>
        <v>2</v>
      </c>
      <c r="G79" s="60">
        <f t="shared" si="22"/>
        <v>76.504237100181399</v>
      </c>
      <c r="H79">
        <v>2</v>
      </c>
      <c r="I79" s="60">
        <f t="shared" si="23"/>
        <v>38.2521185500907</v>
      </c>
      <c r="J79" s="61">
        <f t="shared" si="17"/>
        <v>1357.6285896423781</v>
      </c>
      <c r="K79">
        <f t="shared" si="18"/>
        <v>29.400000000000002</v>
      </c>
      <c r="L79" s="60">
        <f t="shared" si="19"/>
        <v>55.171357208766423</v>
      </c>
      <c r="M79">
        <f t="shared" si="20"/>
        <v>1273.0572324336108</v>
      </c>
      <c r="N79" s="60">
        <f t="shared" si="27"/>
        <v>1357.6285896423772</v>
      </c>
      <c r="O79" s="60">
        <f t="shared" si="28"/>
        <v>0</v>
      </c>
      <c r="P79" s="60">
        <f t="shared" si="21"/>
        <v>0</v>
      </c>
    </row>
    <row r="80" spans="1:16" x14ac:dyDescent="0.25">
      <c r="A80">
        <v>78</v>
      </c>
      <c r="B80" s="60">
        <f t="shared" si="24"/>
        <v>15.394490186381097</v>
      </c>
      <c r="C80" s="62">
        <f t="shared" si="25"/>
        <v>55.42016467097195</v>
      </c>
      <c r="D80">
        <f t="shared" si="16"/>
        <v>2746.0508442976648</v>
      </c>
      <c r="E80">
        <f t="shared" si="26"/>
        <v>60</v>
      </c>
      <c r="F80">
        <f t="shared" si="26"/>
        <v>2</v>
      </c>
      <c r="G80" s="60">
        <f t="shared" si="22"/>
        <v>76.504237100181399</v>
      </c>
      <c r="H80">
        <v>2</v>
      </c>
      <c r="I80" s="60">
        <f t="shared" si="23"/>
        <v>38.2521185500907</v>
      </c>
      <c r="J80" s="61">
        <f t="shared" si="17"/>
        <v>1357.6285896423781</v>
      </c>
      <c r="K80">
        <f t="shared" si="18"/>
        <v>29.400000000000002</v>
      </c>
      <c r="L80" s="60">
        <f t="shared" si="19"/>
        <v>55.171357208766423</v>
      </c>
      <c r="M80">
        <f t="shared" si="20"/>
        <v>1273.0572324336108</v>
      </c>
      <c r="N80" s="60">
        <f t="shared" si="27"/>
        <v>1357.6285896423772</v>
      </c>
      <c r="O80" s="60">
        <f t="shared" si="28"/>
        <v>0</v>
      </c>
      <c r="P80" s="60">
        <f t="shared" si="21"/>
        <v>0</v>
      </c>
    </row>
    <row r="81" spans="1:16" x14ac:dyDescent="0.25">
      <c r="A81">
        <v>79</v>
      </c>
      <c r="B81" s="60">
        <f t="shared" si="24"/>
        <v>15.394490186381097</v>
      </c>
      <c r="C81" s="62">
        <f t="shared" si="25"/>
        <v>55.42016467097195</v>
      </c>
      <c r="D81">
        <f t="shared" si="16"/>
        <v>2746.0508442976648</v>
      </c>
      <c r="E81">
        <f t="shared" si="26"/>
        <v>60</v>
      </c>
      <c r="F81">
        <f t="shared" si="26"/>
        <v>2</v>
      </c>
      <c r="G81" s="60">
        <f t="shared" si="22"/>
        <v>76.504237100181399</v>
      </c>
      <c r="H81">
        <v>2</v>
      </c>
      <c r="I81" s="60">
        <f t="shared" si="23"/>
        <v>38.2521185500907</v>
      </c>
      <c r="J81" s="61">
        <f t="shared" si="17"/>
        <v>1357.6285896423781</v>
      </c>
      <c r="K81">
        <f t="shared" si="18"/>
        <v>29.400000000000002</v>
      </c>
      <c r="L81" s="60">
        <f t="shared" si="19"/>
        <v>55.171357208766423</v>
      </c>
      <c r="M81">
        <f t="shared" si="20"/>
        <v>1273.0572324336108</v>
      </c>
      <c r="N81" s="60">
        <f t="shared" si="27"/>
        <v>1357.6285896423772</v>
      </c>
      <c r="O81" s="60">
        <f t="shared" si="28"/>
        <v>0</v>
      </c>
      <c r="P81" s="60">
        <f t="shared" si="21"/>
        <v>0</v>
      </c>
    </row>
    <row r="82" spans="1:16" x14ac:dyDescent="0.25">
      <c r="A82">
        <v>80</v>
      </c>
      <c r="B82" s="60">
        <f t="shared" si="24"/>
        <v>15.394490186381097</v>
      </c>
      <c r="C82" s="62">
        <f t="shared" si="25"/>
        <v>55.42016467097195</v>
      </c>
      <c r="D82">
        <f t="shared" si="16"/>
        <v>2746.0508442976648</v>
      </c>
      <c r="E82">
        <f t="shared" si="26"/>
        <v>60</v>
      </c>
      <c r="F82">
        <f t="shared" si="26"/>
        <v>2</v>
      </c>
      <c r="G82" s="60">
        <f t="shared" si="22"/>
        <v>76.504237100181399</v>
      </c>
      <c r="H82">
        <v>2</v>
      </c>
      <c r="I82" s="60">
        <f t="shared" si="23"/>
        <v>38.2521185500907</v>
      </c>
      <c r="J82" s="61">
        <f t="shared" si="17"/>
        <v>1357.6285896423781</v>
      </c>
      <c r="K82">
        <f t="shared" si="18"/>
        <v>29.400000000000002</v>
      </c>
      <c r="L82" s="60">
        <f t="shared" si="19"/>
        <v>55.171357208766423</v>
      </c>
      <c r="M82">
        <f t="shared" si="20"/>
        <v>1273.0572324336108</v>
      </c>
      <c r="N82" s="60">
        <f t="shared" si="27"/>
        <v>1357.6285896423772</v>
      </c>
      <c r="O82" s="60">
        <f t="shared" si="28"/>
        <v>0</v>
      </c>
      <c r="P82" s="60">
        <f t="shared" si="21"/>
        <v>0</v>
      </c>
    </row>
    <row r="83" spans="1:16" x14ac:dyDescent="0.25">
      <c r="A83">
        <v>81</v>
      </c>
      <c r="B83" s="60">
        <f t="shared" si="24"/>
        <v>15.394490186381097</v>
      </c>
      <c r="C83" s="62">
        <f t="shared" si="25"/>
        <v>55.42016467097195</v>
      </c>
      <c r="D83">
        <f t="shared" si="16"/>
        <v>2746.0508442976648</v>
      </c>
      <c r="E83">
        <f t="shared" si="26"/>
        <v>60</v>
      </c>
      <c r="F83">
        <f t="shared" si="26"/>
        <v>2</v>
      </c>
      <c r="G83" s="60">
        <f t="shared" si="22"/>
        <v>76.504237100181399</v>
      </c>
      <c r="H83">
        <v>2</v>
      </c>
      <c r="I83" s="60">
        <f t="shared" si="23"/>
        <v>38.2521185500907</v>
      </c>
      <c r="J83" s="61">
        <f t="shared" si="17"/>
        <v>1357.6285896423781</v>
      </c>
      <c r="K83">
        <f t="shared" si="18"/>
        <v>29.400000000000002</v>
      </c>
      <c r="L83" s="60">
        <f t="shared" si="19"/>
        <v>55.171357208766423</v>
      </c>
      <c r="M83">
        <f t="shared" si="20"/>
        <v>1273.0572324336108</v>
      </c>
      <c r="N83" s="60">
        <f t="shared" si="27"/>
        <v>1357.6285896423772</v>
      </c>
      <c r="O83" s="60">
        <f t="shared" si="28"/>
        <v>0</v>
      </c>
      <c r="P83" s="60">
        <f t="shared" si="21"/>
        <v>0</v>
      </c>
    </row>
    <row r="84" spans="1:16" x14ac:dyDescent="0.25">
      <c r="A84">
        <v>82</v>
      </c>
      <c r="B84" s="60">
        <f t="shared" si="24"/>
        <v>15.394490186381097</v>
      </c>
      <c r="C84" s="62">
        <f t="shared" si="25"/>
        <v>55.42016467097195</v>
      </c>
      <c r="D84">
        <f t="shared" si="16"/>
        <v>2746.0508442976648</v>
      </c>
      <c r="E84">
        <f t="shared" ref="E84:F99" si="29">E83</f>
        <v>60</v>
      </c>
      <c r="F84">
        <f t="shared" si="29"/>
        <v>2</v>
      </c>
      <c r="G84" s="60">
        <f t="shared" si="22"/>
        <v>76.504237100181399</v>
      </c>
      <c r="H84">
        <v>2</v>
      </c>
      <c r="I84" s="60">
        <f t="shared" si="23"/>
        <v>38.2521185500907</v>
      </c>
      <c r="J84" s="61">
        <f t="shared" si="17"/>
        <v>1357.6285896423781</v>
      </c>
      <c r="K84">
        <f t="shared" si="18"/>
        <v>29.400000000000002</v>
      </c>
      <c r="L84" s="60">
        <f t="shared" si="19"/>
        <v>55.171357208766423</v>
      </c>
      <c r="M84">
        <f t="shared" si="20"/>
        <v>1273.0572324336108</v>
      </c>
      <c r="N84" s="60">
        <f t="shared" si="27"/>
        <v>1357.6285896423772</v>
      </c>
      <c r="O84" s="60">
        <f t="shared" si="28"/>
        <v>0</v>
      </c>
      <c r="P84" s="60">
        <f t="shared" si="21"/>
        <v>0</v>
      </c>
    </row>
    <row r="85" spans="1:16" x14ac:dyDescent="0.25">
      <c r="A85">
        <v>83</v>
      </c>
      <c r="B85" s="60">
        <f t="shared" si="24"/>
        <v>15.394490186381097</v>
      </c>
      <c r="C85" s="62">
        <f t="shared" si="25"/>
        <v>55.42016467097195</v>
      </c>
      <c r="D85">
        <f t="shared" si="16"/>
        <v>2746.0508442976648</v>
      </c>
      <c r="E85">
        <f t="shared" si="29"/>
        <v>60</v>
      </c>
      <c r="F85">
        <f t="shared" si="29"/>
        <v>2</v>
      </c>
      <c r="G85" s="60">
        <f t="shared" si="22"/>
        <v>76.504237100181399</v>
      </c>
      <c r="H85">
        <v>2</v>
      </c>
      <c r="I85" s="60">
        <f t="shared" si="23"/>
        <v>38.2521185500907</v>
      </c>
      <c r="J85" s="61">
        <f t="shared" si="17"/>
        <v>1357.6285896423781</v>
      </c>
      <c r="K85">
        <f t="shared" si="18"/>
        <v>29.400000000000002</v>
      </c>
      <c r="L85" s="60">
        <f t="shared" si="19"/>
        <v>55.171357208766423</v>
      </c>
      <c r="M85">
        <f t="shared" si="20"/>
        <v>1273.0572324336108</v>
      </c>
      <c r="N85" s="60">
        <f t="shared" si="27"/>
        <v>1357.6285896423772</v>
      </c>
      <c r="O85" s="60">
        <f t="shared" si="28"/>
        <v>0</v>
      </c>
      <c r="P85" s="60">
        <f t="shared" si="21"/>
        <v>0</v>
      </c>
    </row>
    <row r="86" spans="1:16" x14ac:dyDescent="0.25">
      <c r="A86">
        <v>84</v>
      </c>
      <c r="B86" s="60">
        <f t="shared" si="24"/>
        <v>15.394490186381097</v>
      </c>
      <c r="C86" s="62">
        <f t="shared" si="25"/>
        <v>55.42016467097195</v>
      </c>
      <c r="D86">
        <f t="shared" si="16"/>
        <v>2746.0508442976648</v>
      </c>
      <c r="E86">
        <f t="shared" si="29"/>
        <v>60</v>
      </c>
      <c r="F86">
        <f t="shared" si="29"/>
        <v>2</v>
      </c>
      <c r="G86" s="60">
        <f t="shared" si="22"/>
        <v>76.504237100181399</v>
      </c>
      <c r="H86">
        <v>2</v>
      </c>
      <c r="I86" s="60">
        <f t="shared" si="23"/>
        <v>38.2521185500907</v>
      </c>
      <c r="J86" s="61">
        <f t="shared" si="17"/>
        <v>1357.6285896423781</v>
      </c>
      <c r="K86">
        <f t="shared" si="18"/>
        <v>29.400000000000002</v>
      </c>
      <c r="L86" s="60">
        <f t="shared" si="19"/>
        <v>55.171357208766423</v>
      </c>
      <c r="M86">
        <f t="shared" si="20"/>
        <v>1273.0572324336108</v>
      </c>
      <c r="N86" s="60">
        <f t="shared" si="27"/>
        <v>1357.6285896423772</v>
      </c>
      <c r="O86" s="60">
        <f t="shared" si="28"/>
        <v>0</v>
      </c>
      <c r="P86" s="60">
        <f t="shared" si="21"/>
        <v>0</v>
      </c>
    </row>
    <row r="87" spans="1:16" x14ac:dyDescent="0.25">
      <c r="A87">
        <v>85</v>
      </c>
      <c r="B87" s="60">
        <f t="shared" si="24"/>
        <v>15.394490186381097</v>
      </c>
      <c r="C87" s="62">
        <f t="shared" si="25"/>
        <v>55.42016467097195</v>
      </c>
      <c r="D87">
        <f t="shared" si="16"/>
        <v>2746.0508442976648</v>
      </c>
      <c r="E87">
        <f t="shared" si="29"/>
        <v>60</v>
      </c>
      <c r="F87">
        <f t="shared" si="29"/>
        <v>2</v>
      </c>
      <c r="G87" s="60">
        <f t="shared" si="22"/>
        <v>76.504237100181399</v>
      </c>
      <c r="H87">
        <v>2</v>
      </c>
      <c r="I87" s="60">
        <f t="shared" si="23"/>
        <v>38.2521185500907</v>
      </c>
      <c r="J87" s="61">
        <f t="shared" si="17"/>
        <v>1357.6285896423781</v>
      </c>
      <c r="K87">
        <f t="shared" si="18"/>
        <v>29.400000000000002</v>
      </c>
      <c r="L87" s="60">
        <f t="shared" si="19"/>
        <v>55.171357208766423</v>
      </c>
      <c r="M87">
        <f t="shared" si="20"/>
        <v>1273.0572324336108</v>
      </c>
      <c r="N87" s="60">
        <f t="shared" si="27"/>
        <v>1357.6285896423772</v>
      </c>
      <c r="O87" s="60">
        <f t="shared" si="28"/>
        <v>0</v>
      </c>
      <c r="P87" s="60">
        <f t="shared" si="21"/>
        <v>0</v>
      </c>
    </row>
    <row r="88" spans="1:16" x14ac:dyDescent="0.25">
      <c r="A88">
        <v>86</v>
      </c>
      <c r="B88" s="60">
        <f t="shared" si="24"/>
        <v>15.394490186381097</v>
      </c>
      <c r="C88" s="62">
        <f t="shared" si="25"/>
        <v>55.42016467097195</v>
      </c>
      <c r="D88">
        <f t="shared" si="16"/>
        <v>2746.0508442976648</v>
      </c>
      <c r="E88">
        <f t="shared" si="29"/>
        <v>60</v>
      </c>
      <c r="F88">
        <f t="shared" si="29"/>
        <v>2</v>
      </c>
      <c r="G88" s="60">
        <f t="shared" si="22"/>
        <v>76.504237100181399</v>
      </c>
      <c r="H88">
        <v>2</v>
      </c>
      <c r="I88" s="60">
        <f t="shared" si="23"/>
        <v>38.2521185500907</v>
      </c>
      <c r="J88" s="61">
        <f t="shared" si="17"/>
        <v>1357.6285896423781</v>
      </c>
      <c r="K88">
        <f t="shared" si="18"/>
        <v>29.400000000000002</v>
      </c>
      <c r="L88" s="60">
        <f t="shared" si="19"/>
        <v>55.171357208766423</v>
      </c>
      <c r="M88">
        <f t="shared" si="20"/>
        <v>1273.0572324336108</v>
      </c>
      <c r="N88" s="60">
        <f t="shared" si="27"/>
        <v>1357.6285896423772</v>
      </c>
      <c r="O88" s="60">
        <f t="shared" si="28"/>
        <v>0</v>
      </c>
      <c r="P88" s="60">
        <f t="shared" si="21"/>
        <v>0</v>
      </c>
    </row>
    <row r="89" spans="1:16" x14ac:dyDescent="0.25">
      <c r="A89">
        <v>87</v>
      </c>
      <c r="B89" s="60">
        <f t="shared" si="24"/>
        <v>15.394490186381097</v>
      </c>
      <c r="C89" s="62">
        <f t="shared" si="25"/>
        <v>55.42016467097195</v>
      </c>
      <c r="D89">
        <f t="shared" si="16"/>
        <v>2746.0508442976648</v>
      </c>
      <c r="E89">
        <f t="shared" si="29"/>
        <v>60</v>
      </c>
      <c r="F89">
        <f t="shared" si="29"/>
        <v>2</v>
      </c>
      <c r="G89" s="60">
        <f t="shared" si="22"/>
        <v>76.504237100181399</v>
      </c>
      <c r="H89">
        <v>2</v>
      </c>
      <c r="I89" s="60">
        <f t="shared" si="23"/>
        <v>38.2521185500907</v>
      </c>
      <c r="J89" s="61">
        <f t="shared" si="17"/>
        <v>1357.6285896423781</v>
      </c>
      <c r="K89">
        <f t="shared" si="18"/>
        <v>29.400000000000002</v>
      </c>
      <c r="L89" s="60">
        <f t="shared" si="19"/>
        <v>55.171357208766423</v>
      </c>
      <c r="M89">
        <f t="shared" si="20"/>
        <v>1273.0572324336108</v>
      </c>
      <c r="N89" s="60">
        <f t="shared" si="27"/>
        <v>1357.6285896423772</v>
      </c>
      <c r="O89" s="60">
        <f t="shared" si="28"/>
        <v>0</v>
      </c>
      <c r="P89" s="60">
        <f t="shared" si="21"/>
        <v>0</v>
      </c>
    </row>
    <row r="90" spans="1:16" x14ac:dyDescent="0.25">
      <c r="A90">
        <v>88</v>
      </c>
      <c r="B90" s="60">
        <f t="shared" si="24"/>
        <v>15.394490186381097</v>
      </c>
      <c r="C90" s="62">
        <f t="shared" si="25"/>
        <v>55.42016467097195</v>
      </c>
      <c r="D90">
        <f t="shared" si="16"/>
        <v>2746.0508442976648</v>
      </c>
      <c r="E90">
        <f t="shared" si="29"/>
        <v>60</v>
      </c>
      <c r="F90">
        <f t="shared" si="29"/>
        <v>2</v>
      </c>
      <c r="G90" s="60">
        <f t="shared" si="22"/>
        <v>76.504237100181399</v>
      </c>
      <c r="H90">
        <v>2</v>
      </c>
      <c r="I90" s="60">
        <f t="shared" si="23"/>
        <v>38.2521185500907</v>
      </c>
      <c r="J90" s="61">
        <f t="shared" si="17"/>
        <v>1357.6285896423781</v>
      </c>
      <c r="K90">
        <f t="shared" si="18"/>
        <v>29.400000000000002</v>
      </c>
      <c r="L90" s="60">
        <f t="shared" si="19"/>
        <v>55.171357208766423</v>
      </c>
      <c r="M90">
        <f t="shared" si="20"/>
        <v>1273.0572324336108</v>
      </c>
      <c r="N90" s="60">
        <f t="shared" si="27"/>
        <v>1357.6285896423772</v>
      </c>
      <c r="O90" s="60">
        <f t="shared" si="28"/>
        <v>0</v>
      </c>
      <c r="P90" s="60">
        <f t="shared" si="21"/>
        <v>0</v>
      </c>
    </row>
    <row r="91" spans="1:16" x14ac:dyDescent="0.25">
      <c r="A91">
        <v>89</v>
      </c>
      <c r="B91" s="60">
        <f t="shared" si="24"/>
        <v>15.394490186381097</v>
      </c>
      <c r="C91" s="62">
        <f t="shared" si="25"/>
        <v>55.42016467097195</v>
      </c>
      <c r="D91">
        <f t="shared" si="16"/>
        <v>2746.0508442976648</v>
      </c>
      <c r="E91">
        <f t="shared" si="29"/>
        <v>60</v>
      </c>
      <c r="F91">
        <f t="shared" si="29"/>
        <v>2</v>
      </c>
      <c r="G91" s="60">
        <f t="shared" si="22"/>
        <v>76.504237100181399</v>
      </c>
      <c r="H91">
        <v>2</v>
      </c>
      <c r="I91" s="60">
        <f t="shared" si="23"/>
        <v>38.2521185500907</v>
      </c>
      <c r="J91" s="61">
        <f t="shared" si="17"/>
        <v>1357.6285896423781</v>
      </c>
      <c r="K91">
        <f t="shared" si="18"/>
        <v>29.400000000000002</v>
      </c>
      <c r="L91" s="60">
        <f t="shared" si="19"/>
        <v>55.171357208766423</v>
      </c>
      <c r="M91">
        <f t="shared" si="20"/>
        <v>1273.0572324336108</v>
      </c>
      <c r="N91" s="60">
        <f t="shared" si="27"/>
        <v>1357.6285896423772</v>
      </c>
      <c r="O91" s="60">
        <f t="shared" si="28"/>
        <v>0</v>
      </c>
      <c r="P91" s="60">
        <f t="shared" si="21"/>
        <v>0</v>
      </c>
    </row>
    <row r="92" spans="1:16" x14ac:dyDescent="0.25">
      <c r="A92">
        <v>90</v>
      </c>
      <c r="B92" s="60">
        <f t="shared" si="24"/>
        <v>15.394490186381097</v>
      </c>
      <c r="C92" s="62">
        <f t="shared" si="25"/>
        <v>55.42016467097195</v>
      </c>
      <c r="D92">
        <f t="shared" si="16"/>
        <v>2746.0508442976648</v>
      </c>
      <c r="E92">
        <f t="shared" si="29"/>
        <v>60</v>
      </c>
      <c r="F92">
        <f t="shared" si="29"/>
        <v>2</v>
      </c>
      <c r="G92" s="60">
        <f t="shared" si="22"/>
        <v>76.504237100181399</v>
      </c>
      <c r="H92">
        <v>2</v>
      </c>
      <c r="I92" s="60">
        <f t="shared" si="23"/>
        <v>38.2521185500907</v>
      </c>
      <c r="J92" s="61">
        <f t="shared" si="17"/>
        <v>1357.6285896423781</v>
      </c>
      <c r="K92">
        <f t="shared" si="18"/>
        <v>29.400000000000002</v>
      </c>
      <c r="L92" s="60">
        <f t="shared" si="19"/>
        <v>55.171357208766423</v>
      </c>
      <c r="M92">
        <f t="shared" si="20"/>
        <v>1273.0572324336108</v>
      </c>
      <c r="N92" s="60">
        <f t="shared" si="27"/>
        <v>1357.6285896423772</v>
      </c>
      <c r="O92" s="60">
        <f t="shared" si="28"/>
        <v>0</v>
      </c>
      <c r="P92" s="60">
        <f t="shared" si="21"/>
        <v>0</v>
      </c>
    </row>
    <row r="93" spans="1:16" x14ac:dyDescent="0.25">
      <c r="A93">
        <v>91</v>
      </c>
      <c r="B93" s="60">
        <f t="shared" si="24"/>
        <v>15.394490186381097</v>
      </c>
      <c r="C93" s="62">
        <f t="shared" si="25"/>
        <v>55.42016467097195</v>
      </c>
      <c r="D93">
        <f t="shared" si="16"/>
        <v>2746.0508442976648</v>
      </c>
      <c r="E93">
        <f t="shared" si="29"/>
        <v>60</v>
      </c>
      <c r="F93">
        <f t="shared" si="29"/>
        <v>2</v>
      </c>
      <c r="G93" s="60">
        <f t="shared" si="22"/>
        <v>76.504237100181399</v>
      </c>
      <c r="H93">
        <v>2</v>
      </c>
      <c r="I93" s="60">
        <f t="shared" si="23"/>
        <v>38.2521185500907</v>
      </c>
      <c r="J93" s="61">
        <f t="shared" si="17"/>
        <v>1357.6285896423781</v>
      </c>
      <c r="K93">
        <f t="shared" si="18"/>
        <v>29.400000000000002</v>
      </c>
      <c r="L93" s="60">
        <f t="shared" si="19"/>
        <v>55.171357208766423</v>
      </c>
      <c r="M93">
        <f t="shared" si="20"/>
        <v>1273.0572324336108</v>
      </c>
      <c r="N93" s="60">
        <f t="shared" si="27"/>
        <v>1357.6285896423772</v>
      </c>
      <c r="O93" s="60">
        <f t="shared" si="28"/>
        <v>0</v>
      </c>
      <c r="P93" s="60">
        <f t="shared" si="21"/>
        <v>0</v>
      </c>
    </row>
    <row r="94" spans="1:16" x14ac:dyDescent="0.25">
      <c r="A94">
        <v>92</v>
      </c>
      <c r="B94" s="60">
        <f t="shared" si="24"/>
        <v>15.394490186381097</v>
      </c>
      <c r="C94" s="62">
        <f t="shared" si="25"/>
        <v>55.42016467097195</v>
      </c>
      <c r="D94">
        <f t="shared" si="16"/>
        <v>2746.0508442976648</v>
      </c>
      <c r="E94">
        <f t="shared" si="29"/>
        <v>60</v>
      </c>
      <c r="F94">
        <f t="shared" si="29"/>
        <v>2</v>
      </c>
      <c r="G94" s="60">
        <f t="shared" si="22"/>
        <v>76.504237100181399</v>
      </c>
      <c r="H94">
        <v>2</v>
      </c>
      <c r="I94" s="60">
        <f t="shared" si="23"/>
        <v>38.2521185500907</v>
      </c>
      <c r="J94" s="61">
        <f t="shared" si="17"/>
        <v>1357.6285896423781</v>
      </c>
      <c r="K94">
        <f t="shared" si="18"/>
        <v>29.400000000000002</v>
      </c>
      <c r="L94" s="60">
        <f t="shared" si="19"/>
        <v>55.171357208766423</v>
      </c>
      <c r="M94">
        <f t="shared" si="20"/>
        <v>1273.0572324336108</v>
      </c>
      <c r="N94" s="60">
        <f t="shared" si="27"/>
        <v>1357.6285896423772</v>
      </c>
      <c r="O94" s="60">
        <f t="shared" si="28"/>
        <v>0</v>
      </c>
      <c r="P94" s="60">
        <f t="shared" si="21"/>
        <v>0</v>
      </c>
    </row>
    <row r="95" spans="1:16" x14ac:dyDescent="0.25">
      <c r="A95">
        <v>93</v>
      </c>
      <c r="B95" s="60">
        <f t="shared" si="24"/>
        <v>15.394490186381097</v>
      </c>
      <c r="C95" s="62">
        <f t="shared" si="25"/>
        <v>55.42016467097195</v>
      </c>
      <c r="D95">
        <f t="shared" si="16"/>
        <v>2746.0508442976648</v>
      </c>
      <c r="E95">
        <f t="shared" si="29"/>
        <v>60</v>
      </c>
      <c r="F95">
        <f t="shared" si="29"/>
        <v>2</v>
      </c>
      <c r="G95" s="60">
        <f t="shared" si="22"/>
        <v>76.504237100181399</v>
      </c>
      <c r="H95">
        <v>2</v>
      </c>
      <c r="I95" s="60">
        <f t="shared" si="23"/>
        <v>38.2521185500907</v>
      </c>
      <c r="J95" s="61">
        <f t="shared" si="17"/>
        <v>1357.6285896423781</v>
      </c>
      <c r="K95">
        <f t="shared" si="18"/>
        <v>29.400000000000002</v>
      </c>
      <c r="L95" s="60">
        <f t="shared" si="19"/>
        <v>55.171357208766423</v>
      </c>
      <c r="M95">
        <f t="shared" si="20"/>
        <v>1273.0572324336108</v>
      </c>
      <c r="N95" s="60">
        <f t="shared" si="27"/>
        <v>1357.6285896423772</v>
      </c>
      <c r="O95" s="60">
        <f t="shared" si="28"/>
        <v>0</v>
      </c>
      <c r="P95" s="60">
        <f t="shared" si="21"/>
        <v>0</v>
      </c>
    </row>
    <row r="96" spans="1:16" x14ac:dyDescent="0.25">
      <c r="A96">
        <v>94</v>
      </c>
      <c r="B96" s="60">
        <f t="shared" si="24"/>
        <v>15.394490186381097</v>
      </c>
      <c r="C96" s="62">
        <f t="shared" si="25"/>
        <v>55.42016467097195</v>
      </c>
      <c r="D96">
        <f t="shared" si="16"/>
        <v>2746.0508442976648</v>
      </c>
      <c r="E96">
        <f t="shared" si="29"/>
        <v>60</v>
      </c>
      <c r="F96">
        <f t="shared" si="29"/>
        <v>2</v>
      </c>
      <c r="G96" s="60">
        <f t="shared" si="22"/>
        <v>76.504237100181399</v>
      </c>
      <c r="H96">
        <v>2</v>
      </c>
      <c r="I96" s="60">
        <f t="shared" si="23"/>
        <v>38.2521185500907</v>
      </c>
      <c r="J96" s="61">
        <f t="shared" si="17"/>
        <v>1357.6285896423781</v>
      </c>
      <c r="K96">
        <f t="shared" si="18"/>
        <v>29.400000000000002</v>
      </c>
      <c r="L96" s="60">
        <f t="shared" si="19"/>
        <v>55.171357208766423</v>
      </c>
      <c r="M96">
        <f t="shared" si="20"/>
        <v>1273.0572324336108</v>
      </c>
      <c r="N96" s="60">
        <f t="shared" si="27"/>
        <v>1357.6285896423772</v>
      </c>
      <c r="O96" s="60">
        <f t="shared" si="28"/>
        <v>0</v>
      </c>
      <c r="P96" s="60">
        <f t="shared" si="21"/>
        <v>0</v>
      </c>
    </row>
    <row r="97" spans="1:16" x14ac:dyDescent="0.25">
      <c r="A97">
        <v>95</v>
      </c>
      <c r="B97" s="60">
        <f t="shared" si="24"/>
        <v>15.394490186381097</v>
      </c>
      <c r="C97" s="62">
        <f t="shared" si="25"/>
        <v>55.42016467097195</v>
      </c>
      <c r="D97">
        <f t="shared" si="16"/>
        <v>2746.0508442976648</v>
      </c>
      <c r="E97">
        <f t="shared" si="29"/>
        <v>60</v>
      </c>
      <c r="F97">
        <f t="shared" si="29"/>
        <v>2</v>
      </c>
      <c r="G97" s="60">
        <f t="shared" si="22"/>
        <v>76.504237100181399</v>
      </c>
      <c r="H97">
        <v>2</v>
      </c>
      <c r="I97" s="60">
        <f t="shared" si="23"/>
        <v>38.2521185500907</v>
      </c>
      <c r="J97" s="61">
        <f t="shared" si="17"/>
        <v>1357.6285896423781</v>
      </c>
      <c r="K97">
        <f t="shared" si="18"/>
        <v>29.400000000000002</v>
      </c>
      <c r="L97" s="60">
        <f t="shared" si="19"/>
        <v>55.171357208766423</v>
      </c>
      <c r="M97">
        <f t="shared" si="20"/>
        <v>1273.0572324336108</v>
      </c>
      <c r="N97" s="60">
        <f t="shared" si="27"/>
        <v>1357.6285896423772</v>
      </c>
      <c r="O97" s="60">
        <f t="shared" si="28"/>
        <v>0</v>
      </c>
      <c r="P97" s="60">
        <f t="shared" si="21"/>
        <v>0</v>
      </c>
    </row>
    <row r="98" spans="1:16" x14ac:dyDescent="0.25">
      <c r="A98">
        <v>96</v>
      </c>
      <c r="B98" s="60">
        <f t="shared" si="24"/>
        <v>15.394490186381097</v>
      </c>
      <c r="C98" s="62">
        <f t="shared" si="25"/>
        <v>55.42016467097195</v>
      </c>
      <c r="D98">
        <f t="shared" si="16"/>
        <v>2746.0508442976648</v>
      </c>
      <c r="E98">
        <f t="shared" si="29"/>
        <v>60</v>
      </c>
      <c r="F98">
        <f t="shared" si="29"/>
        <v>2</v>
      </c>
      <c r="G98" s="60">
        <f t="shared" si="22"/>
        <v>76.504237100181399</v>
      </c>
      <c r="H98">
        <v>2</v>
      </c>
      <c r="I98" s="60">
        <f t="shared" si="23"/>
        <v>38.2521185500907</v>
      </c>
      <c r="J98" s="61">
        <f t="shared" si="17"/>
        <v>1357.6285896423781</v>
      </c>
      <c r="K98">
        <f t="shared" si="18"/>
        <v>29.400000000000002</v>
      </c>
      <c r="L98" s="60">
        <f t="shared" si="19"/>
        <v>55.171357208766423</v>
      </c>
      <c r="M98">
        <f t="shared" si="20"/>
        <v>1273.0572324336108</v>
      </c>
      <c r="N98" s="60">
        <f t="shared" si="27"/>
        <v>1357.6285896423772</v>
      </c>
      <c r="O98" s="60">
        <f t="shared" si="28"/>
        <v>0</v>
      </c>
      <c r="P98" s="60">
        <f t="shared" si="21"/>
        <v>0</v>
      </c>
    </row>
    <row r="99" spans="1:16" x14ac:dyDescent="0.25">
      <c r="A99">
        <v>97</v>
      </c>
      <c r="B99" s="60">
        <f t="shared" si="24"/>
        <v>15.394490186381097</v>
      </c>
      <c r="C99" s="62">
        <f t="shared" si="25"/>
        <v>55.42016467097195</v>
      </c>
      <c r="D99">
        <f t="shared" si="16"/>
        <v>2746.0508442976648</v>
      </c>
      <c r="E99">
        <f t="shared" si="29"/>
        <v>60</v>
      </c>
      <c r="F99">
        <f t="shared" si="29"/>
        <v>2</v>
      </c>
      <c r="G99" s="60">
        <f t="shared" si="22"/>
        <v>76.504237100181399</v>
      </c>
      <c r="H99">
        <v>2</v>
      </c>
      <c r="I99" s="60">
        <f t="shared" si="23"/>
        <v>38.2521185500907</v>
      </c>
      <c r="J99" s="61">
        <f t="shared" si="17"/>
        <v>1357.6285896423781</v>
      </c>
      <c r="K99">
        <f t="shared" si="18"/>
        <v>29.400000000000002</v>
      </c>
      <c r="L99" s="60">
        <f t="shared" si="19"/>
        <v>55.171357208766423</v>
      </c>
      <c r="M99">
        <f t="shared" si="20"/>
        <v>1273.0572324336108</v>
      </c>
      <c r="N99" s="60">
        <f t="shared" si="27"/>
        <v>1357.6285896423772</v>
      </c>
      <c r="O99" s="60">
        <f t="shared" si="28"/>
        <v>0</v>
      </c>
      <c r="P99" s="60">
        <f t="shared" si="21"/>
        <v>0</v>
      </c>
    </row>
    <row r="100" spans="1:16" x14ac:dyDescent="0.25">
      <c r="A100">
        <v>98</v>
      </c>
      <c r="B100" s="60">
        <f t="shared" si="24"/>
        <v>15.394490186381097</v>
      </c>
      <c r="C100" s="62">
        <f t="shared" si="25"/>
        <v>55.42016467097195</v>
      </c>
      <c r="D100">
        <f t="shared" si="16"/>
        <v>2746.0508442976648</v>
      </c>
      <c r="E100">
        <f t="shared" ref="E100:F115" si="30">E99</f>
        <v>60</v>
      </c>
      <c r="F100">
        <f t="shared" si="30"/>
        <v>2</v>
      </c>
      <c r="G100" s="60">
        <f t="shared" si="22"/>
        <v>76.504237100181399</v>
      </c>
      <c r="H100">
        <v>2</v>
      </c>
      <c r="I100" s="60">
        <f t="shared" si="23"/>
        <v>38.2521185500907</v>
      </c>
      <c r="J100" s="61">
        <f t="shared" si="17"/>
        <v>1357.6285896423781</v>
      </c>
      <c r="K100">
        <f t="shared" si="18"/>
        <v>29.400000000000002</v>
      </c>
      <c r="L100" s="60">
        <f t="shared" si="19"/>
        <v>55.171357208766423</v>
      </c>
      <c r="M100">
        <f t="shared" si="20"/>
        <v>1273.0572324336108</v>
      </c>
      <c r="N100" s="60">
        <f t="shared" si="27"/>
        <v>1357.6285896423772</v>
      </c>
      <c r="O100" s="60">
        <f t="shared" si="28"/>
        <v>0</v>
      </c>
      <c r="P100" s="60">
        <f t="shared" si="21"/>
        <v>0</v>
      </c>
    </row>
    <row r="101" spans="1:16" x14ac:dyDescent="0.25">
      <c r="A101">
        <v>99</v>
      </c>
      <c r="B101" s="60">
        <f t="shared" si="24"/>
        <v>15.394490186381097</v>
      </c>
      <c r="C101" s="62">
        <f t="shared" si="25"/>
        <v>55.42016467097195</v>
      </c>
      <c r="D101">
        <f t="shared" si="16"/>
        <v>2746.0508442976648</v>
      </c>
      <c r="E101">
        <f t="shared" si="30"/>
        <v>60</v>
      </c>
      <c r="F101">
        <f t="shared" si="30"/>
        <v>2</v>
      </c>
      <c r="G101" s="60">
        <f t="shared" si="22"/>
        <v>76.504237100181399</v>
      </c>
      <c r="H101">
        <v>2</v>
      </c>
      <c r="I101" s="60">
        <f t="shared" si="23"/>
        <v>38.2521185500907</v>
      </c>
      <c r="J101" s="61">
        <f t="shared" si="17"/>
        <v>1357.6285896423781</v>
      </c>
      <c r="K101">
        <f t="shared" si="18"/>
        <v>29.400000000000002</v>
      </c>
      <c r="L101" s="60">
        <f t="shared" si="19"/>
        <v>55.171357208766423</v>
      </c>
      <c r="M101">
        <f t="shared" si="20"/>
        <v>1273.0572324336108</v>
      </c>
      <c r="N101" s="60">
        <f t="shared" si="27"/>
        <v>1357.6285896423772</v>
      </c>
      <c r="O101" s="60">
        <f t="shared" si="28"/>
        <v>0</v>
      </c>
      <c r="P101" s="60">
        <f t="shared" si="21"/>
        <v>0</v>
      </c>
    </row>
    <row r="102" spans="1:16" x14ac:dyDescent="0.25">
      <c r="A102">
        <v>100</v>
      </c>
      <c r="B102" s="60">
        <f t="shared" si="24"/>
        <v>15.394490186381097</v>
      </c>
      <c r="C102" s="62">
        <f t="shared" si="25"/>
        <v>55.42016467097195</v>
      </c>
      <c r="D102">
        <f t="shared" si="16"/>
        <v>2746.0508442976648</v>
      </c>
      <c r="E102">
        <f t="shared" si="30"/>
        <v>60</v>
      </c>
      <c r="F102">
        <f t="shared" si="30"/>
        <v>2</v>
      </c>
      <c r="G102" s="60">
        <f t="shared" si="22"/>
        <v>76.504237100181399</v>
      </c>
      <c r="H102">
        <v>2</v>
      </c>
      <c r="I102" s="60">
        <f t="shared" si="23"/>
        <v>38.2521185500907</v>
      </c>
      <c r="J102" s="61">
        <f t="shared" si="17"/>
        <v>1357.6285896423781</v>
      </c>
      <c r="K102">
        <f t="shared" si="18"/>
        <v>29.400000000000002</v>
      </c>
      <c r="L102" s="60">
        <f t="shared" si="19"/>
        <v>55.171357208766423</v>
      </c>
      <c r="M102">
        <f t="shared" si="20"/>
        <v>1273.0572324336108</v>
      </c>
      <c r="N102" s="60">
        <f t="shared" si="27"/>
        <v>1357.6285896423772</v>
      </c>
      <c r="O102" s="60">
        <f t="shared" si="28"/>
        <v>0</v>
      </c>
      <c r="P102" s="60">
        <f t="shared" si="21"/>
        <v>0</v>
      </c>
    </row>
    <row r="103" spans="1:16" x14ac:dyDescent="0.25">
      <c r="A103">
        <v>101</v>
      </c>
      <c r="B103" s="60">
        <f t="shared" si="24"/>
        <v>15.394490186381097</v>
      </c>
      <c r="C103" s="62">
        <f t="shared" si="25"/>
        <v>55.42016467097195</v>
      </c>
      <c r="D103">
        <f t="shared" si="16"/>
        <v>2746.0508442976648</v>
      </c>
      <c r="E103">
        <f t="shared" si="30"/>
        <v>60</v>
      </c>
      <c r="F103">
        <f t="shared" si="30"/>
        <v>2</v>
      </c>
      <c r="G103" s="60">
        <f t="shared" si="22"/>
        <v>76.504237100181399</v>
      </c>
      <c r="H103">
        <v>2</v>
      </c>
      <c r="I103" s="60">
        <f t="shared" si="23"/>
        <v>38.2521185500907</v>
      </c>
      <c r="J103" s="61">
        <f t="shared" si="17"/>
        <v>1357.6285896423781</v>
      </c>
      <c r="K103">
        <f t="shared" si="18"/>
        <v>29.400000000000002</v>
      </c>
      <c r="L103" s="60">
        <f t="shared" si="19"/>
        <v>55.171357208766423</v>
      </c>
      <c r="M103">
        <f t="shared" si="20"/>
        <v>1273.0572324336108</v>
      </c>
      <c r="N103" s="60">
        <f t="shared" si="27"/>
        <v>1357.6285896423772</v>
      </c>
      <c r="O103" s="60">
        <f t="shared" si="28"/>
        <v>0</v>
      </c>
      <c r="P103" s="60">
        <f t="shared" si="21"/>
        <v>0</v>
      </c>
    </row>
    <row r="104" spans="1:16" x14ac:dyDescent="0.25">
      <c r="A104">
        <v>102</v>
      </c>
      <c r="B104" s="60">
        <f t="shared" si="24"/>
        <v>15.394490186381097</v>
      </c>
      <c r="C104" s="62">
        <f t="shared" si="25"/>
        <v>55.42016467097195</v>
      </c>
      <c r="D104">
        <f t="shared" si="16"/>
        <v>2746.0508442976648</v>
      </c>
      <c r="E104">
        <f t="shared" si="30"/>
        <v>60</v>
      </c>
      <c r="F104">
        <f t="shared" si="30"/>
        <v>2</v>
      </c>
      <c r="G104" s="60">
        <f t="shared" si="22"/>
        <v>76.504237100181399</v>
      </c>
      <c r="H104">
        <v>2</v>
      </c>
      <c r="I104" s="60">
        <f t="shared" si="23"/>
        <v>38.2521185500907</v>
      </c>
      <c r="J104" s="61">
        <f t="shared" si="17"/>
        <v>1357.6285896423781</v>
      </c>
      <c r="K104">
        <f t="shared" si="18"/>
        <v>29.400000000000002</v>
      </c>
      <c r="L104" s="60">
        <f t="shared" si="19"/>
        <v>55.171357208766423</v>
      </c>
      <c r="M104">
        <f t="shared" si="20"/>
        <v>1273.0572324336108</v>
      </c>
      <c r="N104" s="60">
        <f t="shared" si="27"/>
        <v>1357.6285896423772</v>
      </c>
      <c r="O104" s="60">
        <f t="shared" si="28"/>
        <v>0</v>
      </c>
      <c r="P104" s="60">
        <f t="shared" si="21"/>
        <v>0</v>
      </c>
    </row>
    <row r="105" spans="1:16" x14ac:dyDescent="0.25">
      <c r="A105">
        <v>103</v>
      </c>
      <c r="B105" s="60">
        <f t="shared" si="24"/>
        <v>15.394490186381097</v>
      </c>
      <c r="C105" s="62">
        <f t="shared" si="25"/>
        <v>55.42016467097195</v>
      </c>
      <c r="D105">
        <f t="shared" si="16"/>
        <v>2746.0508442976648</v>
      </c>
      <c r="E105">
        <f t="shared" si="30"/>
        <v>60</v>
      </c>
      <c r="F105">
        <f t="shared" si="30"/>
        <v>2</v>
      </c>
      <c r="G105" s="60">
        <f t="shared" si="22"/>
        <v>76.504237100181399</v>
      </c>
      <c r="H105">
        <v>2</v>
      </c>
      <c r="I105" s="60">
        <f t="shared" si="23"/>
        <v>38.2521185500907</v>
      </c>
      <c r="J105" s="61">
        <f t="shared" si="17"/>
        <v>1357.6285896423781</v>
      </c>
      <c r="K105">
        <f t="shared" si="18"/>
        <v>29.400000000000002</v>
      </c>
      <c r="L105" s="60">
        <f t="shared" si="19"/>
        <v>55.171357208766423</v>
      </c>
      <c r="M105">
        <f t="shared" si="20"/>
        <v>1273.0572324336108</v>
      </c>
      <c r="N105" s="60">
        <f t="shared" si="27"/>
        <v>1357.6285896423772</v>
      </c>
      <c r="O105" s="60">
        <f t="shared" si="28"/>
        <v>0</v>
      </c>
      <c r="P105" s="60">
        <f t="shared" si="21"/>
        <v>0</v>
      </c>
    </row>
    <row r="106" spans="1:16" x14ac:dyDescent="0.25">
      <c r="A106">
        <v>104</v>
      </c>
      <c r="B106" s="60">
        <f t="shared" si="24"/>
        <v>15.394490186381097</v>
      </c>
      <c r="C106" s="62">
        <f t="shared" si="25"/>
        <v>55.42016467097195</v>
      </c>
      <c r="D106">
        <f t="shared" si="16"/>
        <v>2746.0508442976648</v>
      </c>
      <c r="E106">
        <f t="shared" si="30"/>
        <v>60</v>
      </c>
      <c r="F106">
        <f t="shared" si="30"/>
        <v>2</v>
      </c>
      <c r="G106" s="60">
        <f t="shared" si="22"/>
        <v>76.504237100181399</v>
      </c>
      <c r="H106">
        <v>2</v>
      </c>
      <c r="I106" s="60">
        <f t="shared" si="23"/>
        <v>38.2521185500907</v>
      </c>
      <c r="J106" s="61">
        <f t="shared" si="17"/>
        <v>1357.6285896423781</v>
      </c>
      <c r="K106">
        <f t="shared" si="18"/>
        <v>29.400000000000002</v>
      </c>
      <c r="L106" s="60">
        <f t="shared" si="19"/>
        <v>55.171357208766423</v>
      </c>
      <c r="M106">
        <f t="shared" si="20"/>
        <v>1273.0572324336108</v>
      </c>
      <c r="N106" s="60">
        <f t="shared" si="27"/>
        <v>1357.6285896423772</v>
      </c>
      <c r="O106" s="60">
        <f t="shared" si="28"/>
        <v>0</v>
      </c>
      <c r="P106" s="60">
        <f t="shared" si="21"/>
        <v>0</v>
      </c>
    </row>
    <row r="107" spans="1:16" x14ac:dyDescent="0.25">
      <c r="A107">
        <v>105</v>
      </c>
      <c r="B107" s="60">
        <f t="shared" si="24"/>
        <v>15.394490186381097</v>
      </c>
      <c r="C107" s="62">
        <f t="shared" si="25"/>
        <v>55.42016467097195</v>
      </c>
      <c r="D107">
        <f t="shared" si="16"/>
        <v>2746.0508442976648</v>
      </c>
      <c r="E107">
        <f t="shared" si="30"/>
        <v>60</v>
      </c>
      <c r="F107">
        <f t="shared" si="30"/>
        <v>2</v>
      </c>
      <c r="G107" s="60">
        <f t="shared" si="22"/>
        <v>76.504237100181399</v>
      </c>
      <c r="H107">
        <v>2</v>
      </c>
      <c r="I107" s="60">
        <f t="shared" si="23"/>
        <v>38.2521185500907</v>
      </c>
      <c r="J107" s="61">
        <f t="shared" si="17"/>
        <v>1357.6285896423781</v>
      </c>
      <c r="K107">
        <f t="shared" si="18"/>
        <v>29.400000000000002</v>
      </c>
      <c r="L107" s="60">
        <f t="shared" si="19"/>
        <v>55.171357208766423</v>
      </c>
      <c r="M107">
        <f t="shared" si="20"/>
        <v>1273.0572324336108</v>
      </c>
      <c r="N107" s="60">
        <f t="shared" si="27"/>
        <v>1357.6285896423772</v>
      </c>
      <c r="O107" s="60">
        <f t="shared" si="28"/>
        <v>0</v>
      </c>
      <c r="P107" s="60">
        <f t="shared" si="21"/>
        <v>0</v>
      </c>
    </row>
    <row r="108" spans="1:16" x14ac:dyDescent="0.25">
      <c r="A108">
        <v>106</v>
      </c>
      <c r="B108" s="60">
        <f t="shared" si="24"/>
        <v>15.394490186381097</v>
      </c>
      <c r="C108" s="62">
        <f t="shared" si="25"/>
        <v>55.42016467097195</v>
      </c>
      <c r="D108">
        <f t="shared" si="16"/>
        <v>2746.0508442976648</v>
      </c>
      <c r="E108">
        <f t="shared" si="30"/>
        <v>60</v>
      </c>
      <c r="F108">
        <f t="shared" si="30"/>
        <v>2</v>
      </c>
      <c r="G108" s="60">
        <f t="shared" si="22"/>
        <v>76.504237100181399</v>
      </c>
      <c r="H108">
        <v>2</v>
      </c>
      <c r="I108" s="60">
        <f t="shared" si="23"/>
        <v>38.2521185500907</v>
      </c>
      <c r="J108" s="61">
        <f t="shared" si="17"/>
        <v>1357.6285896423781</v>
      </c>
      <c r="K108">
        <f t="shared" si="18"/>
        <v>29.400000000000002</v>
      </c>
      <c r="L108" s="60">
        <f t="shared" si="19"/>
        <v>55.171357208766423</v>
      </c>
      <c r="M108">
        <f t="shared" si="20"/>
        <v>1273.0572324336108</v>
      </c>
      <c r="N108" s="60">
        <f t="shared" si="27"/>
        <v>1357.6285896423772</v>
      </c>
      <c r="O108" s="60">
        <f t="shared" si="28"/>
        <v>0</v>
      </c>
      <c r="P108" s="60">
        <f t="shared" si="21"/>
        <v>0</v>
      </c>
    </row>
    <row r="109" spans="1:16" x14ac:dyDescent="0.25">
      <c r="A109">
        <v>107</v>
      </c>
      <c r="B109" s="60">
        <f t="shared" si="24"/>
        <v>15.394490186381097</v>
      </c>
      <c r="C109" s="62">
        <f t="shared" si="25"/>
        <v>55.42016467097195</v>
      </c>
      <c r="D109">
        <f t="shared" si="16"/>
        <v>2746.0508442976648</v>
      </c>
      <c r="E109">
        <f t="shared" si="30"/>
        <v>60</v>
      </c>
      <c r="F109">
        <f t="shared" si="30"/>
        <v>2</v>
      </c>
      <c r="G109" s="60">
        <f t="shared" si="22"/>
        <v>76.504237100181399</v>
      </c>
      <c r="H109">
        <v>2</v>
      </c>
      <c r="I109" s="60">
        <f t="shared" si="23"/>
        <v>38.2521185500907</v>
      </c>
      <c r="J109" s="61">
        <f t="shared" si="17"/>
        <v>1357.6285896423781</v>
      </c>
      <c r="K109">
        <f t="shared" si="18"/>
        <v>29.400000000000002</v>
      </c>
      <c r="L109" s="60">
        <f t="shared" si="19"/>
        <v>55.171357208766423</v>
      </c>
      <c r="M109">
        <f t="shared" si="20"/>
        <v>1273.0572324336108</v>
      </c>
      <c r="N109" s="60">
        <f t="shared" si="27"/>
        <v>1357.6285896423772</v>
      </c>
      <c r="O109" s="60">
        <f t="shared" si="28"/>
        <v>0</v>
      </c>
      <c r="P109" s="60">
        <f t="shared" si="21"/>
        <v>0</v>
      </c>
    </row>
    <row r="110" spans="1:16" x14ac:dyDescent="0.25">
      <c r="A110">
        <v>108</v>
      </c>
      <c r="B110" s="60">
        <f t="shared" si="24"/>
        <v>15.394490186381097</v>
      </c>
      <c r="C110" s="62">
        <f t="shared" si="25"/>
        <v>55.42016467097195</v>
      </c>
      <c r="D110">
        <f t="shared" si="16"/>
        <v>2746.0508442976648</v>
      </c>
      <c r="E110">
        <f t="shared" si="30"/>
        <v>60</v>
      </c>
      <c r="F110">
        <f t="shared" si="30"/>
        <v>2</v>
      </c>
      <c r="G110" s="60">
        <f t="shared" si="22"/>
        <v>76.504237100181399</v>
      </c>
      <c r="H110">
        <v>2</v>
      </c>
      <c r="I110" s="60">
        <f t="shared" si="23"/>
        <v>38.2521185500907</v>
      </c>
      <c r="J110" s="61">
        <f t="shared" si="17"/>
        <v>1357.6285896423781</v>
      </c>
      <c r="K110">
        <f t="shared" si="18"/>
        <v>29.400000000000002</v>
      </c>
      <c r="L110" s="60">
        <f t="shared" si="19"/>
        <v>55.171357208766423</v>
      </c>
      <c r="M110">
        <f t="shared" si="20"/>
        <v>1273.0572324336108</v>
      </c>
      <c r="N110" s="60">
        <f t="shared" si="27"/>
        <v>1357.6285896423772</v>
      </c>
      <c r="O110" s="60">
        <f t="shared" si="28"/>
        <v>0</v>
      </c>
      <c r="P110" s="60">
        <f t="shared" si="21"/>
        <v>0</v>
      </c>
    </row>
    <row r="111" spans="1:16" x14ac:dyDescent="0.25">
      <c r="A111">
        <v>109</v>
      </c>
      <c r="B111" s="60">
        <f t="shared" si="24"/>
        <v>15.394490186381097</v>
      </c>
      <c r="C111" s="62">
        <f t="shared" si="25"/>
        <v>55.42016467097195</v>
      </c>
      <c r="D111">
        <f t="shared" si="16"/>
        <v>2746.0508442976648</v>
      </c>
      <c r="E111">
        <f t="shared" si="30"/>
        <v>60</v>
      </c>
      <c r="F111">
        <f t="shared" si="30"/>
        <v>2</v>
      </c>
      <c r="G111" s="60">
        <f t="shared" si="22"/>
        <v>76.504237100181399</v>
      </c>
      <c r="H111">
        <v>2</v>
      </c>
      <c r="I111" s="60">
        <f t="shared" si="23"/>
        <v>38.2521185500907</v>
      </c>
      <c r="J111" s="61">
        <f t="shared" si="17"/>
        <v>1357.6285896423781</v>
      </c>
      <c r="K111">
        <f t="shared" si="18"/>
        <v>29.400000000000002</v>
      </c>
      <c r="L111" s="60">
        <f t="shared" si="19"/>
        <v>55.171357208766423</v>
      </c>
      <c r="M111">
        <f t="shared" si="20"/>
        <v>1273.0572324336108</v>
      </c>
      <c r="N111" s="60">
        <f t="shared" si="27"/>
        <v>1357.6285896423772</v>
      </c>
      <c r="O111" s="60">
        <f t="shared" si="28"/>
        <v>0</v>
      </c>
      <c r="P111" s="60">
        <f t="shared" si="21"/>
        <v>0</v>
      </c>
    </row>
    <row r="112" spans="1:16" x14ac:dyDescent="0.25">
      <c r="A112">
        <v>110</v>
      </c>
      <c r="B112" s="60">
        <f t="shared" si="24"/>
        <v>15.394490186381097</v>
      </c>
      <c r="C112" s="62">
        <f t="shared" si="25"/>
        <v>55.42016467097195</v>
      </c>
      <c r="D112">
        <f t="shared" si="16"/>
        <v>2746.0508442976648</v>
      </c>
      <c r="E112">
        <f t="shared" si="30"/>
        <v>60</v>
      </c>
      <c r="F112">
        <f t="shared" si="30"/>
        <v>2</v>
      </c>
      <c r="G112" s="60">
        <f t="shared" si="22"/>
        <v>76.504237100181399</v>
      </c>
      <c r="H112">
        <v>2</v>
      </c>
      <c r="I112" s="60">
        <f t="shared" si="23"/>
        <v>38.2521185500907</v>
      </c>
      <c r="J112" s="61">
        <f t="shared" si="17"/>
        <v>1357.6285896423781</v>
      </c>
      <c r="K112">
        <f t="shared" si="18"/>
        <v>29.400000000000002</v>
      </c>
      <c r="L112" s="60">
        <f t="shared" si="19"/>
        <v>55.171357208766423</v>
      </c>
      <c r="M112">
        <f t="shared" si="20"/>
        <v>1273.0572324336108</v>
      </c>
      <c r="N112" s="60">
        <f t="shared" si="27"/>
        <v>1357.6285896423772</v>
      </c>
      <c r="O112" s="60">
        <f t="shared" si="28"/>
        <v>0</v>
      </c>
      <c r="P112" s="60">
        <f t="shared" si="21"/>
        <v>0</v>
      </c>
    </row>
    <row r="113" spans="1:16" x14ac:dyDescent="0.25">
      <c r="A113">
        <v>111</v>
      </c>
      <c r="B113" s="60">
        <f t="shared" si="24"/>
        <v>15.394490186381097</v>
      </c>
      <c r="C113" s="62">
        <f t="shared" si="25"/>
        <v>55.42016467097195</v>
      </c>
      <c r="D113">
        <f t="shared" si="16"/>
        <v>2746.0508442976648</v>
      </c>
      <c r="E113">
        <f t="shared" si="30"/>
        <v>60</v>
      </c>
      <c r="F113">
        <f t="shared" si="30"/>
        <v>2</v>
      </c>
      <c r="G113" s="60">
        <f t="shared" si="22"/>
        <v>76.504237100181399</v>
      </c>
      <c r="H113">
        <v>2</v>
      </c>
      <c r="I113" s="60">
        <f t="shared" si="23"/>
        <v>38.2521185500907</v>
      </c>
      <c r="J113" s="61">
        <f t="shared" si="17"/>
        <v>1357.6285896423781</v>
      </c>
      <c r="K113">
        <f t="shared" si="18"/>
        <v>29.400000000000002</v>
      </c>
      <c r="L113" s="60">
        <f t="shared" si="19"/>
        <v>55.171357208766423</v>
      </c>
      <c r="M113">
        <f t="shared" si="20"/>
        <v>1273.0572324336108</v>
      </c>
      <c r="N113" s="60">
        <f t="shared" si="27"/>
        <v>1357.6285896423772</v>
      </c>
      <c r="O113" s="60">
        <f t="shared" si="28"/>
        <v>0</v>
      </c>
      <c r="P113" s="60">
        <f t="shared" si="21"/>
        <v>0</v>
      </c>
    </row>
    <row r="114" spans="1:16" x14ac:dyDescent="0.25">
      <c r="A114">
        <v>112</v>
      </c>
      <c r="B114" s="60">
        <f t="shared" si="24"/>
        <v>15.394490186381097</v>
      </c>
      <c r="C114" s="62">
        <f t="shared" si="25"/>
        <v>55.42016467097195</v>
      </c>
      <c r="D114">
        <f t="shared" si="16"/>
        <v>2746.0508442976648</v>
      </c>
      <c r="E114">
        <f t="shared" si="30"/>
        <v>60</v>
      </c>
      <c r="F114">
        <f t="shared" si="30"/>
        <v>2</v>
      </c>
      <c r="G114" s="60">
        <f t="shared" si="22"/>
        <v>76.504237100181399</v>
      </c>
      <c r="H114">
        <v>2</v>
      </c>
      <c r="I114" s="60">
        <f t="shared" si="23"/>
        <v>38.2521185500907</v>
      </c>
      <c r="J114" s="61">
        <f t="shared" si="17"/>
        <v>1357.6285896423781</v>
      </c>
      <c r="K114">
        <f t="shared" si="18"/>
        <v>29.400000000000002</v>
      </c>
      <c r="L114" s="60">
        <f t="shared" si="19"/>
        <v>55.171357208766423</v>
      </c>
      <c r="M114">
        <f t="shared" si="20"/>
        <v>1273.0572324336108</v>
      </c>
      <c r="N114" s="60">
        <f t="shared" si="27"/>
        <v>1357.6285896423772</v>
      </c>
      <c r="O114" s="60">
        <f t="shared" si="28"/>
        <v>0</v>
      </c>
      <c r="P114" s="60">
        <f t="shared" si="21"/>
        <v>0</v>
      </c>
    </row>
    <row r="115" spans="1:16" x14ac:dyDescent="0.25">
      <c r="A115">
        <v>113</v>
      </c>
      <c r="B115" s="60">
        <f t="shared" si="24"/>
        <v>15.394490186381097</v>
      </c>
      <c r="C115" s="62">
        <f t="shared" si="25"/>
        <v>55.42016467097195</v>
      </c>
      <c r="D115">
        <f t="shared" si="16"/>
        <v>2746.0508442976648</v>
      </c>
      <c r="E115">
        <f t="shared" si="30"/>
        <v>60</v>
      </c>
      <c r="F115">
        <f t="shared" si="30"/>
        <v>2</v>
      </c>
      <c r="G115" s="60">
        <f t="shared" si="22"/>
        <v>76.504237100181399</v>
      </c>
      <c r="H115">
        <v>2</v>
      </c>
      <c r="I115" s="60">
        <f t="shared" si="23"/>
        <v>38.2521185500907</v>
      </c>
      <c r="J115" s="61">
        <f t="shared" si="17"/>
        <v>1357.6285896423781</v>
      </c>
      <c r="K115">
        <f t="shared" si="18"/>
        <v>29.400000000000002</v>
      </c>
      <c r="L115" s="60">
        <f t="shared" si="19"/>
        <v>55.171357208766423</v>
      </c>
      <c r="M115">
        <f t="shared" si="20"/>
        <v>1273.0572324336108</v>
      </c>
      <c r="N115" s="60">
        <f t="shared" si="27"/>
        <v>1357.6285896423772</v>
      </c>
      <c r="O115" s="60">
        <f t="shared" si="28"/>
        <v>0</v>
      </c>
      <c r="P115" s="60">
        <f t="shared" si="21"/>
        <v>0</v>
      </c>
    </row>
    <row r="116" spans="1:16" x14ac:dyDescent="0.25">
      <c r="A116">
        <v>114</v>
      </c>
      <c r="B116" s="60">
        <f t="shared" si="24"/>
        <v>15.394490186381097</v>
      </c>
      <c r="C116" s="62">
        <f t="shared" si="25"/>
        <v>55.42016467097195</v>
      </c>
      <c r="D116">
        <f t="shared" si="16"/>
        <v>2746.0508442976648</v>
      </c>
      <c r="E116">
        <f t="shared" ref="E116:F131" si="31">E115</f>
        <v>60</v>
      </c>
      <c r="F116">
        <f t="shared" si="31"/>
        <v>2</v>
      </c>
      <c r="G116" s="60">
        <f t="shared" si="22"/>
        <v>76.504237100181399</v>
      </c>
      <c r="H116">
        <v>2</v>
      </c>
      <c r="I116" s="60">
        <f t="shared" si="23"/>
        <v>38.2521185500907</v>
      </c>
      <c r="J116" s="61">
        <f t="shared" si="17"/>
        <v>1357.6285896423781</v>
      </c>
      <c r="K116">
        <f t="shared" si="18"/>
        <v>29.400000000000002</v>
      </c>
      <c r="L116" s="60">
        <f t="shared" si="19"/>
        <v>55.171357208766423</v>
      </c>
      <c r="M116">
        <f t="shared" si="20"/>
        <v>1273.0572324336108</v>
      </c>
      <c r="N116" s="60">
        <f t="shared" si="27"/>
        <v>1357.6285896423772</v>
      </c>
      <c r="O116" s="60">
        <f t="shared" si="28"/>
        <v>0</v>
      </c>
      <c r="P116" s="60">
        <f t="shared" si="21"/>
        <v>0</v>
      </c>
    </row>
    <row r="117" spans="1:16" x14ac:dyDescent="0.25">
      <c r="A117">
        <v>115</v>
      </c>
      <c r="B117" s="60">
        <f t="shared" si="24"/>
        <v>15.394490186381097</v>
      </c>
      <c r="C117" s="62">
        <f t="shared" si="25"/>
        <v>55.42016467097195</v>
      </c>
      <c r="D117">
        <f t="shared" si="16"/>
        <v>2746.0508442976648</v>
      </c>
      <c r="E117">
        <f t="shared" si="31"/>
        <v>60</v>
      </c>
      <c r="F117">
        <f t="shared" si="31"/>
        <v>2</v>
      </c>
      <c r="G117" s="60">
        <f t="shared" si="22"/>
        <v>76.504237100181399</v>
      </c>
      <c r="H117">
        <v>2</v>
      </c>
      <c r="I117" s="60">
        <f t="shared" si="23"/>
        <v>38.2521185500907</v>
      </c>
      <c r="J117" s="61">
        <f t="shared" si="17"/>
        <v>1357.6285896423781</v>
      </c>
      <c r="K117">
        <f t="shared" si="18"/>
        <v>29.400000000000002</v>
      </c>
      <c r="L117" s="60">
        <f t="shared" si="19"/>
        <v>55.171357208766423</v>
      </c>
      <c r="M117">
        <f t="shared" si="20"/>
        <v>1273.0572324336108</v>
      </c>
      <c r="N117" s="60">
        <f t="shared" si="27"/>
        <v>1357.6285896423772</v>
      </c>
      <c r="O117" s="60">
        <f t="shared" si="28"/>
        <v>0</v>
      </c>
      <c r="P117" s="60">
        <f t="shared" si="21"/>
        <v>0</v>
      </c>
    </row>
    <row r="118" spans="1:16" x14ac:dyDescent="0.25">
      <c r="A118">
        <v>116</v>
      </c>
      <c r="B118" s="60">
        <f t="shared" si="24"/>
        <v>15.394490186381097</v>
      </c>
      <c r="C118" s="62">
        <f t="shared" si="25"/>
        <v>55.42016467097195</v>
      </c>
      <c r="D118">
        <f t="shared" si="16"/>
        <v>2746.0508442976648</v>
      </c>
      <c r="E118">
        <f t="shared" si="31"/>
        <v>60</v>
      </c>
      <c r="F118">
        <f t="shared" si="31"/>
        <v>2</v>
      </c>
      <c r="G118" s="60">
        <f t="shared" si="22"/>
        <v>76.504237100181399</v>
      </c>
      <c r="H118">
        <v>2</v>
      </c>
      <c r="I118" s="60">
        <f t="shared" si="23"/>
        <v>38.2521185500907</v>
      </c>
      <c r="J118" s="61">
        <f t="shared" si="17"/>
        <v>1357.6285896423781</v>
      </c>
      <c r="K118">
        <f t="shared" si="18"/>
        <v>29.400000000000002</v>
      </c>
      <c r="L118" s="60">
        <f t="shared" si="19"/>
        <v>55.171357208766423</v>
      </c>
      <c r="M118">
        <f t="shared" si="20"/>
        <v>1273.0572324336108</v>
      </c>
      <c r="N118" s="60">
        <f t="shared" si="27"/>
        <v>1357.6285896423772</v>
      </c>
      <c r="O118" s="60">
        <f t="shared" si="28"/>
        <v>0</v>
      </c>
      <c r="P118" s="60">
        <f t="shared" si="21"/>
        <v>0</v>
      </c>
    </row>
    <row r="119" spans="1:16" x14ac:dyDescent="0.25">
      <c r="A119">
        <v>117</v>
      </c>
      <c r="B119" s="60">
        <f t="shared" si="24"/>
        <v>15.394490186381097</v>
      </c>
      <c r="C119" s="62">
        <f t="shared" si="25"/>
        <v>55.42016467097195</v>
      </c>
      <c r="D119">
        <f t="shared" si="16"/>
        <v>2746.0508442976648</v>
      </c>
      <c r="E119">
        <f t="shared" si="31"/>
        <v>60</v>
      </c>
      <c r="F119">
        <f t="shared" si="31"/>
        <v>2</v>
      </c>
      <c r="G119" s="60">
        <f t="shared" si="22"/>
        <v>76.504237100181399</v>
      </c>
      <c r="H119">
        <v>2</v>
      </c>
      <c r="I119" s="60">
        <f t="shared" si="23"/>
        <v>38.2521185500907</v>
      </c>
      <c r="J119" s="61">
        <f t="shared" si="17"/>
        <v>1357.6285896423781</v>
      </c>
      <c r="K119">
        <f t="shared" si="18"/>
        <v>29.400000000000002</v>
      </c>
      <c r="L119" s="60">
        <f t="shared" si="19"/>
        <v>55.171357208766423</v>
      </c>
      <c r="M119">
        <f t="shared" si="20"/>
        <v>1273.0572324336108</v>
      </c>
      <c r="N119" s="60">
        <f t="shared" si="27"/>
        <v>1357.6285896423772</v>
      </c>
      <c r="O119" s="60">
        <f t="shared" si="28"/>
        <v>0</v>
      </c>
      <c r="P119" s="60">
        <f t="shared" si="21"/>
        <v>0</v>
      </c>
    </row>
    <row r="120" spans="1:16" x14ac:dyDescent="0.25">
      <c r="A120">
        <v>118</v>
      </c>
      <c r="B120" s="60">
        <f t="shared" si="24"/>
        <v>15.394490186381097</v>
      </c>
      <c r="C120" s="62">
        <f t="shared" si="25"/>
        <v>55.42016467097195</v>
      </c>
      <c r="D120">
        <f t="shared" si="16"/>
        <v>2746.0508442976648</v>
      </c>
      <c r="E120">
        <f t="shared" si="31"/>
        <v>60</v>
      </c>
      <c r="F120">
        <f t="shared" si="31"/>
        <v>2</v>
      </c>
      <c r="G120" s="60">
        <f t="shared" si="22"/>
        <v>76.504237100181399</v>
      </c>
      <c r="H120">
        <v>2</v>
      </c>
      <c r="I120" s="60">
        <f t="shared" si="23"/>
        <v>38.2521185500907</v>
      </c>
      <c r="J120" s="61">
        <f t="shared" si="17"/>
        <v>1357.6285896423781</v>
      </c>
      <c r="K120">
        <f t="shared" si="18"/>
        <v>29.400000000000002</v>
      </c>
      <c r="L120" s="60">
        <f t="shared" si="19"/>
        <v>55.171357208766423</v>
      </c>
      <c r="M120">
        <f t="shared" si="20"/>
        <v>1273.0572324336108</v>
      </c>
      <c r="N120" s="60">
        <f t="shared" si="27"/>
        <v>1357.6285896423772</v>
      </c>
      <c r="O120" s="60">
        <f t="shared" si="28"/>
        <v>0</v>
      </c>
      <c r="P120" s="60">
        <f t="shared" si="21"/>
        <v>0</v>
      </c>
    </row>
    <row r="121" spans="1:16" x14ac:dyDescent="0.25">
      <c r="A121">
        <v>119</v>
      </c>
      <c r="B121" s="60">
        <f t="shared" si="24"/>
        <v>15.394490186381097</v>
      </c>
      <c r="C121" s="62">
        <f t="shared" si="25"/>
        <v>55.42016467097195</v>
      </c>
      <c r="D121">
        <f t="shared" si="16"/>
        <v>2746.0508442976648</v>
      </c>
      <c r="E121">
        <f t="shared" si="31"/>
        <v>60</v>
      </c>
      <c r="F121">
        <f t="shared" si="31"/>
        <v>2</v>
      </c>
      <c r="G121" s="60">
        <f t="shared" si="22"/>
        <v>76.504237100181399</v>
      </c>
      <c r="H121">
        <v>2</v>
      </c>
      <c r="I121" s="60">
        <f t="shared" si="23"/>
        <v>38.2521185500907</v>
      </c>
      <c r="J121" s="61">
        <f t="shared" si="17"/>
        <v>1357.6285896423781</v>
      </c>
      <c r="K121">
        <f t="shared" si="18"/>
        <v>29.400000000000002</v>
      </c>
      <c r="L121" s="60">
        <f t="shared" si="19"/>
        <v>55.171357208766423</v>
      </c>
      <c r="M121">
        <f t="shared" si="20"/>
        <v>1273.0572324336108</v>
      </c>
      <c r="N121" s="60">
        <f t="shared" si="27"/>
        <v>1357.6285896423772</v>
      </c>
      <c r="O121" s="60">
        <f t="shared" si="28"/>
        <v>0</v>
      </c>
      <c r="P121" s="60">
        <f t="shared" si="21"/>
        <v>0</v>
      </c>
    </row>
    <row r="122" spans="1:16" x14ac:dyDescent="0.25">
      <c r="A122">
        <v>120</v>
      </c>
      <c r="B122" s="60">
        <f t="shared" si="24"/>
        <v>15.394490186381097</v>
      </c>
      <c r="C122" s="62">
        <f t="shared" si="25"/>
        <v>55.42016467097195</v>
      </c>
      <c r="D122">
        <f t="shared" si="16"/>
        <v>2746.0508442976648</v>
      </c>
      <c r="E122">
        <f t="shared" si="31"/>
        <v>60</v>
      </c>
      <c r="F122">
        <f t="shared" si="31"/>
        <v>2</v>
      </c>
      <c r="G122" s="60">
        <f t="shared" si="22"/>
        <v>76.504237100181399</v>
      </c>
      <c r="H122">
        <v>2</v>
      </c>
      <c r="I122" s="60">
        <f t="shared" si="23"/>
        <v>38.2521185500907</v>
      </c>
      <c r="J122" s="61">
        <f t="shared" si="17"/>
        <v>1357.6285896423781</v>
      </c>
      <c r="K122">
        <f t="shared" si="18"/>
        <v>29.400000000000002</v>
      </c>
      <c r="L122" s="60">
        <f t="shared" si="19"/>
        <v>55.171357208766423</v>
      </c>
      <c r="M122">
        <f t="shared" si="20"/>
        <v>1273.0572324336108</v>
      </c>
      <c r="N122" s="60">
        <f t="shared" si="27"/>
        <v>1357.6285896423772</v>
      </c>
      <c r="O122" s="60">
        <f t="shared" si="28"/>
        <v>0</v>
      </c>
      <c r="P122" s="60">
        <f t="shared" si="21"/>
        <v>0</v>
      </c>
    </row>
    <row r="123" spans="1:16" x14ac:dyDescent="0.25">
      <c r="A123">
        <v>121</v>
      </c>
      <c r="B123" s="60">
        <f t="shared" si="24"/>
        <v>15.394490186381097</v>
      </c>
      <c r="C123" s="62">
        <f t="shared" si="25"/>
        <v>55.42016467097195</v>
      </c>
      <c r="D123">
        <f t="shared" si="16"/>
        <v>2746.0508442976648</v>
      </c>
      <c r="E123">
        <f t="shared" si="31"/>
        <v>60</v>
      </c>
      <c r="F123">
        <f t="shared" si="31"/>
        <v>2</v>
      </c>
      <c r="G123" s="60">
        <f t="shared" si="22"/>
        <v>76.504237100181399</v>
      </c>
      <c r="H123">
        <v>3</v>
      </c>
      <c r="I123" s="60">
        <f t="shared" si="23"/>
        <v>25.501412366727134</v>
      </c>
      <c r="J123" s="61">
        <f t="shared" si="17"/>
        <v>1357.6285896423781</v>
      </c>
      <c r="K123">
        <f t="shared" si="18"/>
        <v>29.400000000000002</v>
      </c>
      <c r="L123" s="60">
        <f t="shared" si="19"/>
        <v>55.171357208766423</v>
      </c>
      <c r="M123">
        <f t="shared" si="20"/>
        <v>1273.0572324336108</v>
      </c>
      <c r="N123" s="60">
        <f t="shared" si="27"/>
        <v>1357.6285896423772</v>
      </c>
      <c r="O123" s="60">
        <f t="shared" si="28"/>
        <v>0</v>
      </c>
      <c r="P123" s="60">
        <f t="shared" si="21"/>
        <v>0</v>
      </c>
    </row>
    <row r="124" spans="1:16" x14ac:dyDescent="0.25">
      <c r="A124">
        <v>122</v>
      </c>
      <c r="B124" s="60">
        <f t="shared" si="24"/>
        <v>15.394490186381097</v>
      </c>
      <c r="C124" s="62">
        <f t="shared" si="25"/>
        <v>55.42016467097195</v>
      </c>
      <c r="D124">
        <f t="shared" si="16"/>
        <v>2746.0508442976648</v>
      </c>
      <c r="E124">
        <f t="shared" si="31"/>
        <v>60</v>
      </c>
      <c r="F124">
        <f t="shared" si="31"/>
        <v>2</v>
      </c>
      <c r="G124" s="60">
        <f t="shared" si="22"/>
        <v>76.504237100181399</v>
      </c>
      <c r="H124">
        <v>4</v>
      </c>
      <c r="I124" s="60">
        <f t="shared" si="23"/>
        <v>19.12605927504535</v>
      </c>
      <c r="J124" s="61">
        <f t="shared" si="17"/>
        <v>1357.6285896423781</v>
      </c>
      <c r="K124">
        <f t="shared" si="18"/>
        <v>29.400000000000002</v>
      </c>
      <c r="L124" s="60">
        <f t="shared" si="19"/>
        <v>55.171357208766423</v>
      </c>
      <c r="M124">
        <f t="shared" si="20"/>
        <v>1273.0572324336108</v>
      </c>
      <c r="N124" s="60">
        <f t="shared" si="27"/>
        <v>1357.6285896423772</v>
      </c>
      <c r="O124" s="60">
        <f t="shared" si="28"/>
        <v>0</v>
      </c>
      <c r="P124" s="60">
        <f t="shared" si="21"/>
        <v>0</v>
      </c>
    </row>
    <row r="125" spans="1:16" x14ac:dyDescent="0.25">
      <c r="A125">
        <v>123</v>
      </c>
      <c r="B125" s="60">
        <f t="shared" si="24"/>
        <v>15.394490186381097</v>
      </c>
      <c r="C125" s="62">
        <f t="shared" si="25"/>
        <v>55.42016467097195</v>
      </c>
      <c r="D125">
        <f t="shared" si="16"/>
        <v>2746.0508442976648</v>
      </c>
      <c r="E125">
        <f t="shared" si="31"/>
        <v>60</v>
      </c>
      <c r="F125">
        <f t="shared" si="31"/>
        <v>2</v>
      </c>
      <c r="G125" s="60">
        <f t="shared" si="22"/>
        <v>76.504237100181399</v>
      </c>
      <c r="H125">
        <v>5</v>
      </c>
      <c r="I125" s="60">
        <f t="shared" si="23"/>
        <v>15.300847420036281</v>
      </c>
      <c r="J125" s="61">
        <f t="shared" si="17"/>
        <v>1357.6285896423781</v>
      </c>
      <c r="K125">
        <f t="shared" si="18"/>
        <v>29.400000000000002</v>
      </c>
      <c r="L125" s="60">
        <f t="shared" si="19"/>
        <v>55.171357208766423</v>
      </c>
      <c r="M125">
        <f t="shared" si="20"/>
        <v>1273.0572324336108</v>
      </c>
      <c r="N125" s="60">
        <f t="shared" si="27"/>
        <v>1357.6285896423772</v>
      </c>
      <c r="O125" s="60">
        <f t="shared" si="28"/>
        <v>0</v>
      </c>
      <c r="P125" s="60">
        <f t="shared" si="21"/>
        <v>0</v>
      </c>
    </row>
    <row r="126" spans="1:16" x14ac:dyDescent="0.25">
      <c r="A126">
        <v>124</v>
      </c>
      <c r="B126" s="60">
        <f t="shared" si="24"/>
        <v>15.394490186381097</v>
      </c>
      <c r="C126" s="62">
        <f t="shared" si="25"/>
        <v>55.42016467097195</v>
      </c>
      <c r="D126">
        <f t="shared" si="16"/>
        <v>2746.0508442976648</v>
      </c>
      <c r="E126">
        <f t="shared" si="31"/>
        <v>60</v>
      </c>
      <c r="F126">
        <f t="shared" si="31"/>
        <v>2</v>
      </c>
      <c r="G126" s="60">
        <f t="shared" si="22"/>
        <v>76.504237100181399</v>
      </c>
      <c r="H126">
        <v>6</v>
      </c>
      <c r="I126" s="60">
        <f t="shared" si="23"/>
        <v>12.750706183363567</v>
      </c>
      <c r="J126" s="61">
        <f t="shared" si="17"/>
        <v>1357.6285896423781</v>
      </c>
      <c r="K126">
        <f t="shared" si="18"/>
        <v>29.400000000000002</v>
      </c>
      <c r="L126" s="60">
        <f t="shared" si="19"/>
        <v>55.171357208766423</v>
      </c>
      <c r="M126">
        <f t="shared" si="20"/>
        <v>1273.0572324336108</v>
      </c>
      <c r="N126" s="60">
        <f t="shared" si="27"/>
        <v>1357.6285896423772</v>
      </c>
      <c r="O126" s="60">
        <f t="shared" si="28"/>
        <v>0</v>
      </c>
      <c r="P126" s="60">
        <f t="shared" si="21"/>
        <v>0</v>
      </c>
    </row>
    <row r="127" spans="1:16" x14ac:dyDescent="0.25">
      <c r="A127">
        <v>125</v>
      </c>
      <c r="B127" s="60">
        <f t="shared" si="24"/>
        <v>15.394490186381097</v>
      </c>
      <c r="C127" s="62">
        <f t="shared" si="25"/>
        <v>55.42016467097195</v>
      </c>
      <c r="D127">
        <f t="shared" si="16"/>
        <v>2746.0508442976648</v>
      </c>
      <c r="E127">
        <f t="shared" si="31"/>
        <v>60</v>
      </c>
      <c r="F127">
        <f t="shared" si="31"/>
        <v>2</v>
      </c>
      <c r="G127" s="60">
        <f t="shared" si="22"/>
        <v>76.504237100181399</v>
      </c>
      <c r="H127">
        <v>7</v>
      </c>
      <c r="I127" s="60">
        <f t="shared" si="23"/>
        <v>10.929176728597342</v>
      </c>
      <c r="J127" s="61">
        <f t="shared" si="17"/>
        <v>1357.6285896423781</v>
      </c>
      <c r="K127">
        <f t="shared" si="18"/>
        <v>29.400000000000002</v>
      </c>
      <c r="L127" s="60">
        <f t="shared" si="19"/>
        <v>55.171357208766423</v>
      </c>
      <c r="M127">
        <f t="shared" si="20"/>
        <v>1273.0572324336108</v>
      </c>
      <c r="N127" s="60">
        <f t="shared" si="27"/>
        <v>1357.6285896423772</v>
      </c>
      <c r="O127" s="60">
        <f t="shared" si="28"/>
        <v>0</v>
      </c>
      <c r="P127" s="60">
        <f t="shared" si="21"/>
        <v>0</v>
      </c>
    </row>
    <row r="128" spans="1:16" x14ac:dyDescent="0.25">
      <c r="A128">
        <v>126</v>
      </c>
      <c r="B128" s="60">
        <f t="shared" si="24"/>
        <v>15.394490186381097</v>
      </c>
      <c r="C128" s="62">
        <f t="shared" si="25"/>
        <v>55.42016467097195</v>
      </c>
      <c r="D128">
        <f t="shared" si="16"/>
        <v>2746.0508442976648</v>
      </c>
      <c r="E128">
        <f t="shared" si="31"/>
        <v>60</v>
      </c>
      <c r="F128">
        <f t="shared" si="31"/>
        <v>2</v>
      </c>
      <c r="G128" s="60">
        <f t="shared" si="22"/>
        <v>76.504237100181399</v>
      </c>
      <c r="H128">
        <v>8</v>
      </c>
      <c r="I128" s="60">
        <f t="shared" si="23"/>
        <v>9.5630296375226749</v>
      </c>
      <c r="J128" s="61">
        <f t="shared" si="17"/>
        <v>1357.6285896423781</v>
      </c>
      <c r="K128">
        <f t="shared" si="18"/>
        <v>29.400000000000002</v>
      </c>
      <c r="L128" s="60">
        <f t="shared" si="19"/>
        <v>55.171357208766423</v>
      </c>
      <c r="M128">
        <f t="shared" si="20"/>
        <v>1273.0572324336108</v>
      </c>
      <c r="N128" s="60">
        <f t="shared" si="27"/>
        <v>1357.6285896423772</v>
      </c>
      <c r="O128" s="60">
        <f t="shared" si="28"/>
        <v>0</v>
      </c>
      <c r="P128" s="60">
        <f t="shared" si="21"/>
        <v>0</v>
      </c>
    </row>
    <row r="129" spans="1:16" x14ac:dyDescent="0.25">
      <c r="A129">
        <v>127</v>
      </c>
      <c r="B129" s="60">
        <f t="shared" si="24"/>
        <v>15.394490186381097</v>
      </c>
      <c r="C129" s="62">
        <f t="shared" si="25"/>
        <v>55.42016467097195</v>
      </c>
      <c r="D129">
        <f t="shared" si="16"/>
        <v>2746.0508442976648</v>
      </c>
      <c r="E129">
        <f t="shared" si="31"/>
        <v>60</v>
      </c>
      <c r="F129">
        <f t="shared" si="31"/>
        <v>2</v>
      </c>
      <c r="G129" s="60">
        <f t="shared" si="22"/>
        <v>76.504237100181399</v>
      </c>
      <c r="H129">
        <v>9</v>
      </c>
      <c r="I129" s="60">
        <f t="shared" si="23"/>
        <v>8.5004707889090447</v>
      </c>
      <c r="J129" s="61">
        <f t="shared" si="17"/>
        <v>1357.6285896423781</v>
      </c>
      <c r="K129">
        <f t="shared" si="18"/>
        <v>29.400000000000002</v>
      </c>
      <c r="L129" s="60">
        <f t="shared" si="19"/>
        <v>55.171357208766423</v>
      </c>
      <c r="M129">
        <f t="shared" si="20"/>
        <v>1273.0572324336108</v>
      </c>
      <c r="N129" s="60">
        <f t="shared" si="27"/>
        <v>1357.6285896423772</v>
      </c>
      <c r="O129" s="60">
        <f t="shared" si="28"/>
        <v>0</v>
      </c>
      <c r="P129" s="60">
        <f t="shared" si="21"/>
        <v>0</v>
      </c>
    </row>
    <row r="130" spans="1:16" x14ac:dyDescent="0.25">
      <c r="A130">
        <v>128</v>
      </c>
      <c r="B130" s="60">
        <f t="shared" si="24"/>
        <v>15.394490186381097</v>
      </c>
      <c r="C130" s="62">
        <f t="shared" si="25"/>
        <v>55.42016467097195</v>
      </c>
      <c r="D130">
        <f t="shared" ref="D130:D182" si="32">(C130*GearRatio)/(2*PI()*WheelRadius*0.001*60)</f>
        <v>2746.0508442976648</v>
      </c>
      <c r="E130">
        <f t="shared" si="31"/>
        <v>60</v>
      </c>
      <c r="F130">
        <f t="shared" si="31"/>
        <v>2</v>
      </c>
      <c r="G130" s="60">
        <f t="shared" si="22"/>
        <v>76.504237100181399</v>
      </c>
      <c r="H130">
        <v>10</v>
      </c>
      <c r="I130" s="60">
        <f t="shared" si="23"/>
        <v>7.6504237100181403</v>
      </c>
      <c r="J130" s="61">
        <f t="shared" ref="J130:J182" si="33">(G130*GearRatio*GearEfficency)/WheelRadius</f>
        <v>1357.6285896423781</v>
      </c>
      <c r="K130">
        <f t="shared" ref="K130:K182" si="34">Froll</f>
        <v>29.400000000000002</v>
      </c>
      <c r="L130" s="60">
        <f t="shared" ref="L130:L182" si="35">Cd*Density*Area*C130*C130*0.03858025308642</f>
        <v>55.171357208766423</v>
      </c>
      <c r="M130">
        <f t="shared" ref="M130:M182" si="36">(KerbWeight+LoadWeight)*9.8*SIN(E130*0.01745329)</f>
        <v>1273.0572324336108</v>
      </c>
      <c r="N130" s="60">
        <f t="shared" si="27"/>
        <v>1357.6285896423772</v>
      </c>
      <c r="O130" s="60">
        <f t="shared" si="28"/>
        <v>0</v>
      </c>
      <c r="P130" s="60">
        <f t="shared" ref="P130:P182" si="37">O130/(KerbWeight+LoadWeight)</f>
        <v>0</v>
      </c>
    </row>
    <row r="131" spans="1:16" x14ac:dyDescent="0.25">
      <c r="A131">
        <v>129</v>
      </c>
      <c r="B131" s="60">
        <f t="shared" si="24"/>
        <v>15.394490186381097</v>
      </c>
      <c r="C131" s="62">
        <f t="shared" si="25"/>
        <v>55.42016467097195</v>
      </c>
      <c r="D131">
        <f t="shared" si="32"/>
        <v>2746.0508442976648</v>
      </c>
      <c r="E131">
        <f t="shared" si="31"/>
        <v>60</v>
      </c>
      <c r="F131">
        <f t="shared" si="31"/>
        <v>2</v>
      </c>
      <c r="G131" s="60">
        <f t="shared" ref="G131:G182" si="38">IF((F131=2),(IF((D131&lt;2000),(52*2),((2*11000*60)/(2*PI()*D131)))),(IF((D131&lt;2000),(30*2),((2*6000*60)/(2*PI()*D131)))))</f>
        <v>76.504237100181399</v>
      </c>
      <c r="H131">
        <v>11</v>
      </c>
      <c r="I131" s="60">
        <f t="shared" ref="I131:I182" si="39">G131/H131</f>
        <v>6.9549306454710367</v>
      </c>
      <c r="J131" s="61">
        <f t="shared" si="33"/>
        <v>1357.6285896423781</v>
      </c>
      <c r="K131">
        <f t="shared" si="34"/>
        <v>29.400000000000002</v>
      </c>
      <c r="L131" s="60">
        <f t="shared" si="35"/>
        <v>55.171357208766423</v>
      </c>
      <c r="M131">
        <f t="shared" si="36"/>
        <v>1273.0572324336108</v>
      </c>
      <c r="N131" s="60">
        <f t="shared" si="27"/>
        <v>1357.6285896423772</v>
      </c>
      <c r="O131" s="60">
        <f t="shared" si="28"/>
        <v>0</v>
      </c>
      <c r="P131" s="60">
        <f t="shared" si="37"/>
        <v>0</v>
      </c>
    </row>
    <row r="132" spans="1:16" x14ac:dyDescent="0.25">
      <c r="A132">
        <v>130</v>
      </c>
      <c r="B132" s="60">
        <f t="shared" ref="B132:B182" si="40">B131+(P131*(A132-A131))</f>
        <v>15.394490186381097</v>
      </c>
      <c r="C132" s="62">
        <f t="shared" ref="C132:C182" si="41">B132*3.6</f>
        <v>55.42016467097195</v>
      </c>
      <c r="D132">
        <f t="shared" si="32"/>
        <v>2746.0508442976648</v>
      </c>
      <c r="E132">
        <f t="shared" ref="E132:F147" si="42">E131</f>
        <v>60</v>
      </c>
      <c r="F132">
        <f t="shared" si="42"/>
        <v>2</v>
      </c>
      <c r="G132" s="60">
        <f t="shared" si="38"/>
        <v>76.504237100181399</v>
      </c>
      <c r="H132">
        <v>12</v>
      </c>
      <c r="I132" s="60">
        <f t="shared" si="39"/>
        <v>6.3753530916817835</v>
      </c>
      <c r="J132" s="61">
        <f t="shared" si="33"/>
        <v>1357.6285896423781</v>
      </c>
      <c r="K132">
        <f t="shared" si="34"/>
        <v>29.400000000000002</v>
      </c>
      <c r="L132" s="60">
        <f t="shared" si="35"/>
        <v>55.171357208766423</v>
      </c>
      <c r="M132">
        <f t="shared" si="36"/>
        <v>1273.0572324336108</v>
      </c>
      <c r="N132" s="60">
        <f t="shared" ref="N132:N182" si="43">K132+L132+M132</f>
        <v>1357.6285896423772</v>
      </c>
      <c r="O132" s="60">
        <f t="shared" ref="O132:O182" si="44">J132-N132</f>
        <v>0</v>
      </c>
      <c r="P132" s="60">
        <f t="shared" si="37"/>
        <v>0</v>
      </c>
    </row>
    <row r="133" spans="1:16" x14ac:dyDescent="0.25">
      <c r="A133">
        <v>131</v>
      </c>
      <c r="B133" s="60">
        <f t="shared" si="40"/>
        <v>15.394490186381097</v>
      </c>
      <c r="C133" s="62">
        <f t="shared" si="41"/>
        <v>55.42016467097195</v>
      </c>
      <c r="D133">
        <f t="shared" si="32"/>
        <v>2746.0508442976648</v>
      </c>
      <c r="E133">
        <f t="shared" si="42"/>
        <v>60</v>
      </c>
      <c r="F133">
        <f t="shared" si="42"/>
        <v>2</v>
      </c>
      <c r="G133" s="60">
        <f t="shared" si="38"/>
        <v>76.504237100181399</v>
      </c>
      <c r="H133">
        <v>13</v>
      </c>
      <c r="I133" s="60">
        <f t="shared" si="39"/>
        <v>5.884941315398569</v>
      </c>
      <c r="J133" s="61">
        <f t="shared" si="33"/>
        <v>1357.6285896423781</v>
      </c>
      <c r="K133">
        <f t="shared" si="34"/>
        <v>29.400000000000002</v>
      </c>
      <c r="L133" s="60">
        <f t="shared" si="35"/>
        <v>55.171357208766423</v>
      </c>
      <c r="M133">
        <f t="shared" si="36"/>
        <v>1273.0572324336108</v>
      </c>
      <c r="N133" s="60">
        <f t="shared" si="43"/>
        <v>1357.6285896423772</v>
      </c>
      <c r="O133" s="60">
        <f t="shared" si="44"/>
        <v>0</v>
      </c>
      <c r="P133" s="60">
        <f t="shared" si="37"/>
        <v>0</v>
      </c>
    </row>
    <row r="134" spans="1:16" x14ac:dyDescent="0.25">
      <c r="A134">
        <v>132</v>
      </c>
      <c r="B134" s="60">
        <f t="shared" si="40"/>
        <v>15.394490186381097</v>
      </c>
      <c r="C134" s="62">
        <f t="shared" si="41"/>
        <v>55.42016467097195</v>
      </c>
      <c r="D134">
        <f t="shared" si="32"/>
        <v>2746.0508442976648</v>
      </c>
      <c r="E134">
        <f t="shared" si="42"/>
        <v>60</v>
      </c>
      <c r="F134">
        <f t="shared" si="42"/>
        <v>2</v>
      </c>
      <c r="G134" s="60">
        <f t="shared" si="38"/>
        <v>76.504237100181399</v>
      </c>
      <c r="H134">
        <v>14</v>
      </c>
      <c r="I134" s="60">
        <f t="shared" si="39"/>
        <v>5.4645883642986712</v>
      </c>
      <c r="J134" s="61">
        <f t="shared" si="33"/>
        <v>1357.6285896423781</v>
      </c>
      <c r="K134">
        <f t="shared" si="34"/>
        <v>29.400000000000002</v>
      </c>
      <c r="L134" s="60">
        <f t="shared" si="35"/>
        <v>55.171357208766423</v>
      </c>
      <c r="M134">
        <f t="shared" si="36"/>
        <v>1273.0572324336108</v>
      </c>
      <c r="N134" s="60">
        <f t="shared" si="43"/>
        <v>1357.6285896423772</v>
      </c>
      <c r="O134" s="60">
        <f t="shared" si="44"/>
        <v>0</v>
      </c>
      <c r="P134" s="60">
        <f t="shared" si="37"/>
        <v>0</v>
      </c>
    </row>
    <row r="135" spans="1:16" x14ac:dyDescent="0.25">
      <c r="A135">
        <v>133</v>
      </c>
      <c r="B135" s="60">
        <f t="shared" si="40"/>
        <v>15.394490186381097</v>
      </c>
      <c r="C135" s="62">
        <f t="shared" si="41"/>
        <v>55.42016467097195</v>
      </c>
      <c r="D135">
        <f t="shared" si="32"/>
        <v>2746.0508442976648</v>
      </c>
      <c r="E135">
        <f t="shared" si="42"/>
        <v>60</v>
      </c>
      <c r="F135">
        <f t="shared" si="42"/>
        <v>2</v>
      </c>
      <c r="G135" s="60">
        <f t="shared" si="38"/>
        <v>76.504237100181399</v>
      </c>
      <c r="H135">
        <v>15</v>
      </c>
      <c r="I135" s="60">
        <f t="shared" si="39"/>
        <v>5.1002824733454268</v>
      </c>
      <c r="J135" s="61">
        <f t="shared" si="33"/>
        <v>1357.6285896423781</v>
      </c>
      <c r="K135">
        <f t="shared" si="34"/>
        <v>29.400000000000002</v>
      </c>
      <c r="L135" s="60">
        <f t="shared" si="35"/>
        <v>55.171357208766423</v>
      </c>
      <c r="M135">
        <f t="shared" si="36"/>
        <v>1273.0572324336108</v>
      </c>
      <c r="N135" s="60">
        <f t="shared" si="43"/>
        <v>1357.6285896423772</v>
      </c>
      <c r="O135" s="60">
        <f t="shared" si="44"/>
        <v>0</v>
      </c>
      <c r="P135" s="60">
        <f t="shared" si="37"/>
        <v>0</v>
      </c>
    </row>
    <row r="136" spans="1:16" x14ac:dyDescent="0.25">
      <c r="A136">
        <v>134</v>
      </c>
      <c r="B136" s="60">
        <f t="shared" si="40"/>
        <v>15.394490186381097</v>
      </c>
      <c r="C136" s="62">
        <f t="shared" si="41"/>
        <v>55.42016467097195</v>
      </c>
      <c r="D136">
        <f t="shared" si="32"/>
        <v>2746.0508442976648</v>
      </c>
      <c r="E136">
        <f t="shared" si="42"/>
        <v>60</v>
      </c>
      <c r="F136">
        <f t="shared" si="42"/>
        <v>2</v>
      </c>
      <c r="G136" s="60">
        <f t="shared" si="38"/>
        <v>76.504237100181399</v>
      </c>
      <c r="H136">
        <v>16</v>
      </c>
      <c r="I136" s="60">
        <f t="shared" si="39"/>
        <v>4.7815148187613374</v>
      </c>
      <c r="J136" s="61">
        <f t="shared" si="33"/>
        <v>1357.6285896423781</v>
      </c>
      <c r="K136">
        <f t="shared" si="34"/>
        <v>29.400000000000002</v>
      </c>
      <c r="L136" s="60">
        <f t="shared" si="35"/>
        <v>55.171357208766423</v>
      </c>
      <c r="M136">
        <f t="shared" si="36"/>
        <v>1273.0572324336108</v>
      </c>
      <c r="N136" s="60">
        <f t="shared" si="43"/>
        <v>1357.6285896423772</v>
      </c>
      <c r="O136" s="60">
        <f t="shared" si="44"/>
        <v>0</v>
      </c>
      <c r="P136" s="60">
        <f t="shared" si="37"/>
        <v>0</v>
      </c>
    </row>
    <row r="137" spans="1:16" x14ac:dyDescent="0.25">
      <c r="A137">
        <v>135</v>
      </c>
      <c r="B137" s="60">
        <f t="shared" si="40"/>
        <v>15.394490186381097</v>
      </c>
      <c r="C137" s="62">
        <f t="shared" si="41"/>
        <v>55.42016467097195</v>
      </c>
      <c r="D137">
        <f t="shared" si="32"/>
        <v>2746.0508442976648</v>
      </c>
      <c r="E137">
        <f t="shared" si="42"/>
        <v>60</v>
      </c>
      <c r="F137">
        <f t="shared" si="42"/>
        <v>2</v>
      </c>
      <c r="G137" s="60">
        <f t="shared" si="38"/>
        <v>76.504237100181399</v>
      </c>
      <c r="H137">
        <v>17</v>
      </c>
      <c r="I137" s="60">
        <f t="shared" si="39"/>
        <v>4.5002492411871415</v>
      </c>
      <c r="J137" s="61">
        <f t="shared" si="33"/>
        <v>1357.6285896423781</v>
      </c>
      <c r="K137">
        <f t="shared" si="34"/>
        <v>29.400000000000002</v>
      </c>
      <c r="L137" s="60">
        <f t="shared" si="35"/>
        <v>55.171357208766423</v>
      </c>
      <c r="M137">
        <f t="shared" si="36"/>
        <v>1273.0572324336108</v>
      </c>
      <c r="N137" s="60">
        <f t="shared" si="43"/>
        <v>1357.6285896423772</v>
      </c>
      <c r="O137" s="60">
        <f t="shared" si="44"/>
        <v>0</v>
      </c>
      <c r="P137" s="60">
        <f t="shared" si="37"/>
        <v>0</v>
      </c>
    </row>
    <row r="138" spans="1:16" x14ac:dyDescent="0.25">
      <c r="A138">
        <v>136</v>
      </c>
      <c r="B138" s="60">
        <f t="shared" si="40"/>
        <v>15.394490186381097</v>
      </c>
      <c r="C138" s="62">
        <f t="shared" si="41"/>
        <v>55.42016467097195</v>
      </c>
      <c r="D138">
        <f t="shared" si="32"/>
        <v>2746.0508442976648</v>
      </c>
      <c r="E138">
        <f t="shared" si="42"/>
        <v>60</v>
      </c>
      <c r="F138">
        <f t="shared" si="42"/>
        <v>2</v>
      </c>
      <c r="G138" s="60">
        <f t="shared" si="38"/>
        <v>76.504237100181399</v>
      </c>
      <c r="H138">
        <v>18</v>
      </c>
      <c r="I138" s="60">
        <f t="shared" si="39"/>
        <v>4.2502353944545224</v>
      </c>
      <c r="J138" s="61">
        <f t="shared" si="33"/>
        <v>1357.6285896423781</v>
      </c>
      <c r="K138">
        <f t="shared" si="34"/>
        <v>29.400000000000002</v>
      </c>
      <c r="L138" s="60">
        <f t="shared" si="35"/>
        <v>55.171357208766423</v>
      </c>
      <c r="M138">
        <f t="shared" si="36"/>
        <v>1273.0572324336108</v>
      </c>
      <c r="N138" s="60">
        <f t="shared" si="43"/>
        <v>1357.6285896423772</v>
      </c>
      <c r="O138" s="60">
        <f t="shared" si="44"/>
        <v>0</v>
      </c>
      <c r="P138" s="60">
        <f t="shared" si="37"/>
        <v>0</v>
      </c>
    </row>
    <row r="139" spans="1:16" x14ac:dyDescent="0.25">
      <c r="A139">
        <v>137</v>
      </c>
      <c r="B139" s="60">
        <f t="shared" si="40"/>
        <v>15.394490186381097</v>
      </c>
      <c r="C139" s="62">
        <f t="shared" si="41"/>
        <v>55.42016467097195</v>
      </c>
      <c r="D139">
        <f t="shared" si="32"/>
        <v>2746.0508442976648</v>
      </c>
      <c r="E139">
        <f t="shared" si="42"/>
        <v>60</v>
      </c>
      <c r="F139">
        <f t="shared" si="42"/>
        <v>2</v>
      </c>
      <c r="G139" s="60">
        <f t="shared" si="38"/>
        <v>76.504237100181399</v>
      </c>
      <c r="H139">
        <v>19</v>
      </c>
      <c r="I139" s="60">
        <f t="shared" si="39"/>
        <v>4.0265387947463891</v>
      </c>
      <c r="J139" s="61">
        <f t="shared" si="33"/>
        <v>1357.6285896423781</v>
      </c>
      <c r="K139">
        <f t="shared" si="34"/>
        <v>29.400000000000002</v>
      </c>
      <c r="L139" s="60">
        <f t="shared" si="35"/>
        <v>55.171357208766423</v>
      </c>
      <c r="M139">
        <f t="shared" si="36"/>
        <v>1273.0572324336108</v>
      </c>
      <c r="N139" s="60">
        <f t="shared" si="43"/>
        <v>1357.6285896423772</v>
      </c>
      <c r="O139" s="60">
        <f t="shared" si="44"/>
        <v>0</v>
      </c>
      <c r="P139" s="60">
        <f t="shared" si="37"/>
        <v>0</v>
      </c>
    </row>
    <row r="140" spans="1:16" x14ac:dyDescent="0.25">
      <c r="A140">
        <v>138</v>
      </c>
      <c r="B140" s="60">
        <f t="shared" si="40"/>
        <v>15.394490186381097</v>
      </c>
      <c r="C140" s="62">
        <f t="shared" si="41"/>
        <v>55.42016467097195</v>
      </c>
      <c r="D140">
        <f t="shared" si="32"/>
        <v>2746.0508442976648</v>
      </c>
      <c r="E140">
        <f t="shared" si="42"/>
        <v>60</v>
      </c>
      <c r="F140">
        <f t="shared" si="42"/>
        <v>2</v>
      </c>
      <c r="G140" s="60">
        <f t="shared" si="38"/>
        <v>76.504237100181399</v>
      </c>
      <c r="H140">
        <v>20</v>
      </c>
      <c r="I140" s="60">
        <f t="shared" si="39"/>
        <v>3.8252118550090701</v>
      </c>
      <c r="J140" s="61">
        <f t="shared" si="33"/>
        <v>1357.6285896423781</v>
      </c>
      <c r="K140">
        <f t="shared" si="34"/>
        <v>29.400000000000002</v>
      </c>
      <c r="L140" s="60">
        <f t="shared" si="35"/>
        <v>55.171357208766423</v>
      </c>
      <c r="M140">
        <f t="shared" si="36"/>
        <v>1273.0572324336108</v>
      </c>
      <c r="N140" s="60">
        <f t="shared" si="43"/>
        <v>1357.6285896423772</v>
      </c>
      <c r="O140" s="60">
        <f t="shared" si="44"/>
        <v>0</v>
      </c>
      <c r="P140" s="60">
        <f t="shared" si="37"/>
        <v>0</v>
      </c>
    </row>
    <row r="141" spans="1:16" x14ac:dyDescent="0.25">
      <c r="A141">
        <v>139</v>
      </c>
      <c r="B141" s="60">
        <f t="shared" si="40"/>
        <v>15.394490186381097</v>
      </c>
      <c r="C141" s="62">
        <f t="shared" si="41"/>
        <v>55.42016467097195</v>
      </c>
      <c r="D141">
        <f t="shared" si="32"/>
        <v>2746.0508442976648</v>
      </c>
      <c r="E141">
        <f t="shared" si="42"/>
        <v>60</v>
      </c>
      <c r="F141">
        <f t="shared" si="42"/>
        <v>2</v>
      </c>
      <c r="G141" s="60">
        <f t="shared" si="38"/>
        <v>76.504237100181399</v>
      </c>
      <c r="H141">
        <v>21</v>
      </c>
      <c r="I141" s="60">
        <f t="shared" si="39"/>
        <v>3.6430589095324475</v>
      </c>
      <c r="J141" s="61">
        <f t="shared" si="33"/>
        <v>1357.6285896423781</v>
      </c>
      <c r="K141">
        <f t="shared" si="34"/>
        <v>29.400000000000002</v>
      </c>
      <c r="L141" s="60">
        <f t="shared" si="35"/>
        <v>55.171357208766423</v>
      </c>
      <c r="M141">
        <f t="shared" si="36"/>
        <v>1273.0572324336108</v>
      </c>
      <c r="N141" s="60">
        <f t="shared" si="43"/>
        <v>1357.6285896423772</v>
      </c>
      <c r="O141" s="60">
        <f t="shared" si="44"/>
        <v>0</v>
      </c>
      <c r="P141" s="60">
        <f t="shared" si="37"/>
        <v>0</v>
      </c>
    </row>
    <row r="142" spans="1:16" x14ac:dyDescent="0.25">
      <c r="A142">
        <v>140</v>
      </c>
      <c r="B142" s="60">
        <f t="shared" si="40"/>
        <v>15.394490186381097</v>
      </c>
      <c r="C142" s="62">
        <f t="shared" si="41"/>
        <v>55.42016467097195</v>
      </c>
      <c r="D142">
        <f t="shared" si="32"/>
        <v>2746.0508442976648</v>
      </c>
      <c r="E142">
        <f t="shared" si="42"/>
        <v>60</v>
      </c>
      <c r="F142">
        <f t="shared" si="42"/>
        <v>2</v>
      </c>
      <c r="G142" s="60">
        <f t="shared" si="38"/>
        <v>76.504237100181399</v>
      </c>
      <c r="H142">
        <v>22</v>
      </c>
      <c r="I142" s="60">
        <f t="shared" si="39"/>
        <v>3.4774653227355183</v>
      </c>
      <c r="J142" s="61">
        <f t="shared" si="33"/>
        <v>1357.6285896423781</v>
      </c>
      <c r="K142">
        <f t="shared" si="34"/>
        <v>29.400000000000002</v>
      </c>
      <c r="L142" s="60">
        <f t="shared" si="35"/>
        <v>55.171357208766423</v>
      </c>
      <c r="M142">
        <f t="shared" si="36"/>
        <v>1273.0572324336108</v>
      </c>
      <c r="N142" s="60">
        <f t="shared" si="43"/>
        <v>1357.6285896423772</v>
      </c>
      <c r="O142" s="60">
        <f t="shared" si="44"/>
        <v>0</v>
      </c>
      <c r="P142" s="60">
        <f t="shared" si="37"/>
        <v>0</v>
      </c>
    </row>
    <row r="143" spans="1:16" x14ac:dyDescent="0.25">
      <c r="A143">
        <v>141</v>
      </c>
      <c r="B143" s="60">
        <f t="shared" si="40"/>
        <v>15.394490186381097</v>
      </c>
      <c r="C143" s="62">
        <f t="shared" si="41"/>
        <v>55.42016467097195</v>
      </c>
      <c r="D143">
        <f t="shared" si="32"/>
        <v>2746.0508442976648</v>
      </c>
      <c r="E143">
        <f t="shared" si="42"/>
        <v>60</v>
      </c>
      <c r="F143">
        <f t="shared" si="42"/>
        <v>2</v>
      </c>
      <c r="G143" s="60">
        <f t="shared" si="38"/>
        <v>76.504237100181399</v>
      </c>
      <c r="H143">
        <v>23</v>
      </c>
      <c r="I143" s="60">
        <f t="shared" si="39"/>
        <v>3.3262711782687564</v>
      </c>
      <c r="J143" s="61">
        <f t="shared" si="33"/>
        <v>1357.6285896423781</v>
      </c>
      <c r="K143">
        <f t="shared" si="34"/>
        <v>29.400000000000002</v>
      </c>
      <c r="L143" s="60">
        <f t="shared" si="35"/>
        <v>55.171357208766423</v>
      </c>
      <c r="M143">
        <f t="shared" si="36"/>
        <v>1273.0572324336108</v>
      </c>
      <c r="N143" s="60">
        <f t="shared" si="43"/>
        <v>1357.6285896423772</v>
      </c>
      <c r="O143" s="60">
        <f t="shared" si="44"/>
        <v>0</v>
      </c>
      <c r="P143" s="60">
        <f t="shared" si="37"/>
        <v>0</v>
      </c>
    </row>
    <row r="144" spans="1:16" x14ac:dyDescent="0.25">
      <c r="A144">
        <v>142</v>
      </c>
      <c r="B144" s="60">
        <f t="shared" si="40"/>
        <v>15.394490186381097</v>
      </c>
      <c r="C144" s="62">
        <f t="shared" si="41"/>
        <v>55.42016467097195</v>
      </c>
      <c r="D144">
        <f t="shared" si="32"/>
        <v>2746.0508442976648</v>
      </c>
      <c r="E144">
        <f t="shared" si="42"/>
        <v>60</v>
      </c>
      <c r="F144">
        <f t="shared" si="42"/>
        <v>2</v>
      </c>
      <c r="G144" s="60">
        <f t="shared" si="38"/>
        <v>76.504237100181399</v>
      </c>
      <c r="H144">
        <v>24</v>
      </c>
      <c r="I144" s="60">
        <f t="shared" si="39"/>
        <v>3.1876765458408918</v>
      </c>
      <c r="J144" s="61">
        <f t="shared" si="33"/>
        <v>1357.6285896423781</v>
      </c>
      <c r="K144">
        <f t="shared" si="34"/>
        <v>29.400000000000002</v>
      </c>
      <c r="L144" s="60">
        <f t="shared" si="35"/>
        <v>55.171357208766423</v>
      </c>
      <c r="M144">
        <f t="shared" si="36"/>
        <v>1273.0572324336108</v>
      </c>
      <c r="N144" s="60">
        <f t="shared" si="43"/>
        <v>1357.6285896423772</v>
      </c>
      <c r="O144" s="60">
        <f t="shared" si="44"/>
        <v>0</v>
      </c>
      <c r="P144" s="60">
        <f t="shared" si="37"/>
        <v>0</v>
      </c>
    </row>
    <row r="145" spans="1:16" x14ac:dyDescent="0.25">
      <c r="A145">
        <v>143</v>
      </c>
      <c r="B145" s="60">
        <f t="shared" si="40"/>
        <v>15.394490186381097</v>
      </c>
      <c r="C145" s="62">
        <f t="shared" si="41"/>
        <v>55.42016467097195</v>
      </c>
      <c r="D145">
        <f t="shared" si="32"/>
        <v>2746.0508442976648</v>
      </c>
      <c r="E145">
        <f t="shared" si="42"/>
        <v>60</v>
      </c>
      <c r="F145">
        <f t="shared" si="42"/>
        <v>2</v>
      </c>
      <c r="G145" s="60">
        <f t="shared" si="38"/>
        <v>76.504237100181399</v>
      </c>
      <c r="H145">
        <v>25</v>
      </c>
      <c r="I145" s="60">
        <f t="shared" si="39"/>
        <v>3.0601694840072557</v>
      </c>
      <c r="J145" s="61">
        <f t="shared" si="33"/>
        <v>1357.6285896423781</v>
      </c>
      <c r="K145">
        <f t="shared" si="34"/>
        <v>29.400000000000002</v>
      </c>
      <c r="L145" s="60">
        <f t="shared" si="35"/>
        <v>55.171357208766423</v>
      </c>
      <c r="M145">
        <f t="shared" si="36"/>
        <v>1273.0572324336108</v>
      </c>
      <c r="N145" s="60">
        <f t="shared" si="43"/>
        <v>1357.6285896423772</v>
      </c>
      <c r="O145" s="60">
        <f t="shared" si="44"/>
        <v>0</v>
      </c>
      <c r="P145" s="60">
        <f t="shared" si="37"/>
        <v>0</v>
      </c>
    </row>
    <row r="146" spans="1:16" x14ac:dyDescent="0.25">
      <c r="A146">
        <v>144</v>
      </c>
      <c r="B146" s="60">
        <f t="shared" si="40"/>
        <v>15.394490186381097</v>
      </c>
      <c r="C146" s="62">
        <f t="shared" si="41"/>
        <v>55.42016467097195</v>
      </c>
      <c r="D146">
        <f t="shared" si="32"/>
        <v>2746.0508442976648</v>
      </c>
      <c r="E146">
        <f t="shared" si="42"/>
        <v>60</v>
      </c>
      <c r="F146">
        <f t="shared" si="42"/>
        <v>2</v>
      </c>
      <c r="G146" s="60">
        <f t="shared" si="38"/>
        <v>76.504237100181399</v>
      </c>
      <c r="H146">
        <v>26</v>
      </c>
      <c r="I146" s="60">
        <f t="shared" si="39"/>
        <v>2.9424706576992845</v>
      </c>
      <c r="J146" s="61">
        <f t="shared" si="33"/>
        <v>1357.6285896423781</v>
      </c>
      <c r="K146">
        <f t="shared" si="34"/>
        <v>29.400000000000002</v>
      </c>
      <c r="L146" s="60">
        <f t="shared" si="35"/>
        <v>55.171357208766423</v>
      </c>
      <c r="M146">
        <f t="shared" si="36"/>
        <v>1273.0572324336108</v>
      </c>
      <c r="N146" s="60">
        <f t="shared" si="43"/>
        <v>1357.6285896423772</v>
      </c>
      <c r="O146" s="60">
        <f t="shared" si="44"/>
        <v>0</v>
      </c>
      <c r="P146" s="60">
        <f t="shared" si="37"/>
        <v>0</v>
      </c>
    </row>
    <row r="147" spans="1:16" x14ac:dyDescent="0.25">
      <c r="A147">
        <v>145</v>
      </c>
      <c r="B147" s="60">
        <f t="shared" si="40"/>
        <v>15.394490186381097</v>
      </c>
      <c r="C147" s="62">
        <f t="shared" si="41"/>
        <v>55.42016467097195</v>
      </c>
      <c r="D147">
        <f t="shared" si="32"/>
        <v>2746.0508442976648</v>
      </c>
      <c r="E147">
        <f t="shared" si="42"/>
        <v>60</v>
      </c>
      <c r="F147">
        <f t="shared" si="42"/>
        <v>2</v>
      </c>
      <c r="G147" s="60">
        <f t="shared" si="38"/>
        <v>76.504237100181399</v>
      </c>
      <c r="H147">
        <v>27</v>
      </c>
      <c r="I147" s="60">
        <f t="shared" si="39"/>
        <v>2.8334902629696814</v>
      </c>
      <c r="J147" s="61">
        <f t="shared" si="33"/>
        <v>1357.6285896423781</v>
      </c>
      <c r="K147">
        <f t="shared" si="34"/>
        <v>29.400000000000002</v>
      </c>
      <c r="L147" s="60">
        <f t="shared" si="35"/>
        <v>55.171357208766423</v>
      </c>
      <c r="M147">
        <f t="shared" si="36"/>
        <v>1273.0572324336108</v>
      </c>
      <c r="N147" s="60">
        <f t="shared" si="43"/>
        <v>1357.6285896423772</v>
      </c>
      <c r="O147" s="60">
        <f t="shared" si="44"/>
        <v>0</v>
      </c>
      <c r="P147" s="60">
        <f t="shared" si="37"/>
        <v>0</v>
      </c>
    </row>
    <row r="148" spans="1:16" x14ac:dyDescent="0.25">
      <c r="A148">
        <v>146</v>
      </c>
      <c r="B148" s="60">
        <f t="shared" si="40"/>
        <v>15.394490186381097</v>
      </c>
      <c r="C148" s="62">
        <f t="shared" si="41"/>
        <v>55.42016467097195</v>
      </c>
      <c r="D148">
        <f t="shared" si="32"/>
        <v>2746.0508442976648</v>
      </c>
      <c r="E148">
        <f t="shared" ref="E148:F163" si="45">E147</f>
        <v>60</v>
      </c>
      <c r="F148">
        <f t="shared" si="45"/>
        <v>2</v>
      </c>
      <c r="G148" s="60">
        <f t="shared" si="38"/>
        <v>76.504237100181399</v>
      </c>
      <c r="H148">
        <v>28</v>
      </c>
      <c r="I148" s="60">
        <f t="shared" si="39"/>
        <v>2.7322941821493356</v>
      </c>
      <c r="J148" s="61">
        <f t="shared" si="33"/>
        <v>1357.6285896423781</v>
      </c>
      <c r="K148">
        <f t="shared" si="34"/>
        <v>29.400000000000002</v>
      </c>
      <c r="L148" s="60">
        <f t="shared" si="35"/>
        <v>55.171357208766423</v>
      </c>
      <c r="M148">
        <f t="shared" si="36"/>
        <v>1273.0572324336108</v>
      </c>
      <c r="N148" s="60">
        <f t="shared" si="43"/>
        <v>1357.6285896423772</v>
      </c>
      <c r="O148" s="60">
        <f t="shared" si="44"/>
        <v>0</v>
      </c>
      <c r="P148" s="60">
        <f t="shared" si="37"/>
        <v>0</v>
      </c>
    </row>
    <row r="149" spans="1:16" x14ac:dyDescent="0.25">
      <c r="A149">
        <v>147</v>
      </c>
      <c r="B149" s="60">
        <f t="shared" si="40"/>
        <v>15.394490186381097</v>
      </c>
      <c r="C149" s="62">
        <f t="shared" si="41"/>
        <v>55.42016467097195</v>
      </c>
      <c r="D149">
        <f t="shared" si="32"/>
        <v>2746.0508442976648</v>
      </c>
      <c r="E149">
        <f t="shared" si="45"/>
        <v>60</v>
      </c>
      <c r="F149">
        <f t="shared" si="45"/>
        <v>2</v>
      </c>
      <c r="G149" s="60">
        <f t="shared" si="38"/>
        <v>76.504237100181399</v>
      </c>
      <c r="H149">
        <v>29</v>
      </c>
      <c r="I149" s="60">
        <f t="shared" si="39"/>
        <v>2.6380771413855655</v>
      </c>
      <c r="J149" s="61">
        <f t="shared" si="33"/>
        <v>1357.6285896423781</v>
      </c>
      <c r="K149">
        <f t="shared" si="34"/>
        <v>29.400000000000002</v>
      </c>
      <c r="L149" s="60">
        <f t="shared" si="35"/>
        <v>55.171357208766423</v>
      </c>
      <c r="M149">
        <f t="shared" si="36"/>
        <v>1273.0572324336108</v>
      </c>
      <c r="N149" s="60">
        <f t="shared" si="43"/>
        <v>1357.6285896423772</v>
      </c>
      <c r="O149" s="60">
        <f t="shared" si="44"/>
        <v>0</v>
      </c>
      <c r="P149" s="60">
        <f t="shared" si="37"/>
        <v>0</v>
      </c>
    </row>
    <row r="150" spans="1:16" x14ac:dyDescent="0.25">
      <c r="A150">
        <v>148</v>
      </c>
      <c r="B150" s="60">
        <f t="shared" si="40"/>
        <v>15.394490186381097</v>
      </c>
      <c r="C150" s="62">
        <f t="shared" si="41"/>
        <v>55.42016467097195</v>
      </c>
      <c r="D150">
        <f t="shared" si="32"/>
        <v>2746.0508442976648</v>
      </c>
      <c r="E150">
        <f t="shared" si="45"/>
        <v>60</v>
      </c>
      <c r="F150">
        <f t="shared" si="45"/>
        <v>2</v>
      </c>
      <c r="G150" s="60">
        <f t="shared" si="38"/>
        <v>76.504237100181399</v>
      </c>
      <c r="H150">
        <v>30</v>
      </c>
      <c r="I150" s="60">
        <f t="shared" si="39"/>
        <v>2.5501412366727134</v>
      </c>
      <c r="J150" s="61">
        <f t="shared" si="33"/>
        <v>1357.6285896423781</v>
      </c>
      <c r="K150">
        <f t="shared" si="34"/>
        <v>29.400000000000002</v>
      </c>
      <c r="L150" s="60">
        <f t="shared" si="35"/>
        <v>55.171357208766423</v>
      </c>
      <c r="M150">
        <f t="shared" si="36"/>
        <v>1273.0572324336108</v>
      </c>
      <c r="N150" s="60">
        <f t="shared" si="43"/>
        <v>1357.6285896423772</v>
      </c>
      <c r="O150" s="60">
        <f t="shared" si="44"/>
        <v>0</v>
      </c>
      <c r="P150" s="60">
        <f t="shared" si="37"/>
        <v>0</v>
      </c>
    </row>
    <row r="151" spans="1:16" x14ac:dyDescent="0.25">
      <c r="A151">
        <v>149</v>
      </c>
      <c r="B151" s="60">
        <f t="shared" si="40"/>
        <v>15.394490186381097</v>
      </c>
      <c r="C151" s="62">
        <f t="shared" si="41"/>
        <v>55.42016467097195</v>
      </c>
      <c r="D151">
        <f t="shared" si="32"/>
        <v>2746.0508442976648</v>
      </c>
      <c r="E151">
        <f t="shared" si="45"/>
        <v>60</v>
      </c>
      <c r="F151">
        <f t="shared" si="45"/>
        <v>2</v>
      </c>
      <c r="G151" s="60">
        <f t="shared" si="38"/>
        <v>76.504237100181399</v>
      </c>
      <c r="H151">
        <v>31</v>
      </c>
      <c r="I151" s="60">
        <f t="shared" si="39"/>
        <v>2.4678786161348838</v>
      </c>
      <c r="J151" s="61">
        <f t="shared" si="33"/>
        <v>1357.6285896423781</v>
      </c>
      <c r="K151">
        <f t="shared" si="34"/>
        <v>29.400000000000002</v>
      </c>
      <c r="L151" s="60">
        <f t="shared" si="35"/>
        <v>55.171357208766423</v>
      </c>
      <c r="M151">
        <f t="shared" si="36"/>
        <v>1273.0572324336108</v>
      </c>
      <c r="N151" s="60">
        <f t="shared" si="43"/>
        <v>1357.6285896423772</v>
      </c>
      <c r="O151" s="60">
        <f t="shared" si="44"/>
        <v>0</v>
      </c>
      <c r="P151" s="60">
        <f t="shared" si="37"/>
        <v>0</v>
      </c>
    </row>
    <row r="152" spans="1:16" x14ac:dyDescent="0.25">
      <c r="A152">
        <v>150</v>
      </c>
      <c r="B152" s="60">
        <f t="shared" si="40"/>
        <v>15.394490186381097</v>
      </c>
      <c r="C152" s="62">
        <f t="shared" si="41"/>
        <v>55.42016467097195</v>
      </c>
      <c r="D152">
        <f t="shared" si="32"/>
        <v>2746.0508442976648</v>
      </c>
      <c r="E152">
        <f t="shared" si="45"/>
        <v>60</v>
      </c>
      <c r="F152">
        <f t="shared" si="45"/>
        <v>2</v>
      </c>
      <c r="G152" s="60">
        <f t="shared" si="38"/>
        <v>76.504237100181399</v>
      </c>
      <c r="H152">
        <v>32</v>
      </c>
      <c r="I152" s="60">
        <f t="shared" si="39"/>
        <v>2.3907574093806687</v>
      </c>
      <c r="J152" s="61">
        <f t="shared" si="33"/>
        <v>1357.6285896423781</v>
      </c>
      <c r="K152">
        <f t="shared" si="34"/>
        <v>29.400000000000002</v>
      </c>
      <c r="L152" s="60">
        <f t="shared" si="35"/>
        <v>55.171357208766423</v>
      </c>
      <c r="M152">
        <f t="shared" si="36"/>
        <v>1273.0572324336108</v>
      </c>
      <c r="N152" s="60">
        <f t="shared" si="43"/>
        <v>1357.6285896423772</v>
      </c>
      <c r="O152" s="60">
        <f t="shared" si="44"/>
        <v>0</v>
      </c>
      <c r="P152" s="60">
        <f t="shared" si="37"/>
        <v>0</v>
      </c>
    </row>
    <row r="153" spans="1:16" x14ac:dyDescent="0.25">
      <c r="A153">
        <v>151</v>
      </c>
      <c r="B153" s="60">
        <f t="shared" si="40"/>
        <v>15.394490186381097</v>
      </c>
      <c r="C153" s="62">
        <f t="shared" si="41"/>
        <v>55.42016467097195</v>
      </c>
      <c r="D153">
        <f t="shared" si="32"/>
        <v>2746.0508442976648</v>
      </c>
      <c r="E153">
        <f t="shared" si="45"/>
        <v>60</v>
      </c>
      <c r="F153">
        <f t="shared" si="45"/>
        <v>2</v>
      </c>
      <c r="G153" s="60">
        <f t="shared" si="38"/>
        <v>76.504237100181399</v>
      </c>
      <c r="H153">
        <v>33</v>
      </c>
      <c r="I153" s="60">
        <f t="shared" si="39"/>
        <v>2.3183102151570121</v>
      </c>
      <c r="J153" s="61">
        <f t="shared" si="33"/>
        <v>1357.6285896423781</v>
      </c>
      <c r="K153">
        <f t="shared" si="34"/>
        <v>29.400000000000002</v>
      </c>
      <c r="L153" s="60">
        <f t="shared" si="35"/>
        <v>55.171357208766423</v>
      </c>
      <c r="M153">
        <f t="shared" si="36"/>
        <v>1273.0572324336108</v>
      </c>
      <c r="N153" s="60">
        <f t="shared" si="43"/>
        <v>1357.6285896423772</v>
      </c>
      <c r="O153" s="60">
        <f t="shared" si="44"/>
        <v>0</v>
      </c>
      <c r="P153" s="60">
        <f t="shared" si="37"/>
        <v>0</v>
      </c>
    </row>
    <row r="154" spans="1:16" x14ac:dyDescent="0.25">
      <c r="A154">
        <v>152</v>
      </c>
      <c r="B154" s="60">
        <f t="shared" si="40"/>
        <v>15.394490186381097</v>
      </c>
      <c r="C154" s="62">
        <f t="shared" si="41"/>
        <v>55.42016467097195</v>
      </c>
      <c r="D154">
        <f t="shared" si="32"/>
        <v>2746.0508442976648</v>
      </c>
      <c r="E154">
        <f t="shared" si="45"/>
        <v>60</v>
      </c>
      <c r="F154">
        <f t="shared" si="45"/>
        <v>2</v>
      </c>
      <c r="G154" s="60">
        <f t="shared" si="38"/>
        <v>76.504237100181399</v>
      </c>
      <c r="H154">
        <v>34</v>
      </c>
      <c r="I154" s="60">
        <f t="shared" si="39"/>
        <v>2.2501246205935708</v>
      </c>
      <c r="J154" s="61">
        <f t="shared" si="33"/>
        <v>1357.6285896423781</v>
      </c>
      <c r="K154">
        <f t="shared" si="34"/>
        <v>29.400000000000002</v>
      </c>
      <c r="L154" s="60">
        <f t="shared" si="35"/>
        <v>55.171357208766423</v>
      </c>
      <c r="M154">
        <f t="shared" si="36"/>
        <v>1273.0572324336108</v>
      </c>
      <c r="N154" s="60">
        <f t="shared" si="43"/>
        <v>1357.6285896423772</v>
      </c>
      <c r="O154" s="60">
        <f t="shared" si="44"/>
        <v>0</v>
      </c>
      <c r="P154" s="60">
        <f t="shared" si="37"/>
        <v>0</v>
      </c>
    </row>
    <row r="155" spans="1:16" x14ac:dyDescent="0.25">
      <c r="A155">
        <v>153</v>
      </c>
      <c r="B155" s="60">
        <f t="shared" si="40"/>
        <v>15.394490186381097</v>
      </c>
      <c r="C155" s="62">
        <f t="shared" si="41"/>
        <v>55.42016467097195</v>
      </c>
      <c r="D155">
        <f t="shared" si="32"/>
        <v>2746.0508442976648</v>
      </c>
      <c r="E155">
        <f t="shared" si="45"/>
        <v>60</v>
      </c>
      <c r="F155">
        <f t="shared" si="45"/>
        <v>2</v>
      </c>
      <c r="G155" s="60">
        <f t="shared" si="38"/>
        <v>76.504237100181399</v>
      </c>
      <c r="H155">
        <v>35</v>
      </c>
      <c r="I155" s="60">
        <f t="shared" si="39"/>
        <v>2.1858353457194686</v>
      </c>
      <c r="J155" s="61">
        <f t="shared" si="33"/>
        <v>1357.6285896423781</v>
      </c>
      <c r="K155">
        <f t="shared" si="34"/>
        <v>29.400000000000002</v>
      </c>
      <c r="L155" s="60">
        <f t="shared" si="35"/>
        <v>55.171357208766423</v>
      </c>
      <c r="M155">
        <f t="shared" si="36"/>
        <v>1273.0572324336108</v>
      </c>
      <c r="N155" s="60">
        <f t="shared" si="43"/>
        <v>1357.6285896423772</v>
      </c>
      <c r="O155" s="60">
        <f t="shared" si="44"/>
        <v>0</v>
      </c>
      <c r="P155" s="60">
        <f t="shared" si="37"/>
        <v>0</v>
      </c>
    </row>
    <row r="156" spans="1:16" x14ac:dyDescent="0.25">
      <c r="A156">
        <v>154</v>
      </c>
      <c r="B156" s="60">
        <f t="shared" si="40"/>
        <v>15.394490186381097</v>
      </c>
      <c r="C156" s="62">
        <f t="shared" si="41"/>
        <v>55.42016467097195</v>
      </c>
      <c r="D156">
        <f t="shared" si="32"/>
        <v>2746.0508442976648</v>
      </c>
      <c r="E156">
        <f t="shared" si="45"/>
        <v>60</v>
      </c>
      <c r="F156">
        <f t="shared" si="45"/>
        <v>2</v>
      </c>
      <c r="G156" s="60">
        <f t="shared" si="38"/>
        <v>76.504237100181399</v>
      </c>
      <c r="H156">
        <v>36</v>
      </c>
      <c r="I156" s="60">
        <f t="shared" si="39"/>
        <v>2.1251176972272612</v>
      </c>
      <c r="J156" s="61">
        <f t="shared" si="33"/>
        <v>1357.6285896423781</v>
      </c>
      <c r="K156">
        <f t="shared" si="34"/>
        <v>29.400000000000002</v>
      </c>
      <c r="L156" s="60">
        <f t="shared" si="35"/>
        <v>55.171357208766423</v>
      </c>
      <c r="M156">
        <f t="shared" si="36"/>
        <v>1273.0572324336108</v>
      </c>
      <c r="N156" s="60">
        <f t="shared" si="43"/>
        <v>1357.6285896423772</v>
      </c>
      <c r="O156" s="60">
        <f t="shared" si="44"/>
        <v>0</v>
      </c>
      <c r="P156" s="60">
        <f t="shared" si="37"/>
        <v>0</v>
      </c>
    </row>
    <row r="157" spans="1:16" x14ac:dyDescent="0.25">
      <c r="A157">
        <v>155</v>
      </c>
      <c r="B157" s="60">
        <f t="shared" si="40"/>
        <v>15.394490186381097</v>
      </c>
      <c r="C157" s="62">
        <f t="shared" si="41"/>
        <v>55.42016467097195</v>
      </c>
      <c r="D157">
        <f t="shared" si="32"/>
        <v>2746.0508442976648</v>
      </c>
      <c r="E157">
        <f t="shared" si="45"/>
        <v>60</v>
      </c>
      <c r="F157">
        <f t="shared" si="45"/>
        <v>2</v>
      </c>
      <c r="G157" s="60">
        <f t="shared" si="38"/>
        <v>76.504237100181399</v>
      </c>
      <c r="H157">
        <v>37</v>
      </c>
      <c r="I157" s="60">
        <f t="shared" si="39"/>
        <v>2.0676820837886867</v>
      </c>
      <c r="J157" s="61">
        <f t="shared" si="33"/>
        <v>1357.6285896423781</v>
      </c>
      <c r="K157">
        <f t="shared" si="34"/>
        <v>29.400000000000002</v>
      </c>
      <c r="L157" s="60">
        <f t="shared" si="35"/>
        <v>55.171357208766423</v>
      </c>
      <c r="M157">
        <f t="shared" si="36"/>
        <v>1273.0572324336108</v>
      </c>
      <c r="N157" s="60">
        <f t="shared" si="43"/>
        <v>1357.6285896423772</v>
      </c>
      <c r="O157" s="60">
        <f t="shared" si="44"/>
        <v>0</v>
      </c>
      <c r="P157" s="60">
        <f t="shared" si="37"/>
        <v>0</v>
      </c>
    </row>
    <row r="158" spans="1:16" x14ac:dyDescent="0.25">
      <c r="A158">
        <v>156</v>
      </c>
      <c r="B158" s="60">
        <f t="shared" si="40"/>
        <v>15.394490186381097</v>
      </c>
      <c r="C158" s="62">
        <f t="shared" si="41"/>
        <v>55.42016467097195</v>
      </c>
      <c r="D158">
        <f t="shared" si="32"/>
        <v>2746.0508442976648</v>
      </c>
      <c r="E158">
        <f t="shared" si="45"/>
        <v>60</v>
      </c>
      <c r="F158">
        <f t="shared" si="45"/>
        <v>2</v>
      </c>
      <c r="G158" s="60">
        <f t="shared" si="38"/>
        <v>76.504237100181399</v>
      </c>
      <c r="H158">
        <v>38</v>
      </c>
      <c r="I158" s="60">
        <f t="shared" si="39"/>
        <v>2.0132693973731945</v>
      </c>
      <c r="J158" s="61">
        <f t="shared" si="33"/>
        <v>1357.6285896423781</v>
      </c>
      <c r="K158">
        <f t="shared" si="34"/>
        <v>29.400000000000002</v>
      </c>
      <c r="L158" s="60">
        <f t="shared" si="35"/>
        <v>55.171357208766423</v>
      </c>
      <c r="M158">
        <f t="shared" si="36"/>
        <v>1273.0572324336108</v>
      </c>
      <c r="N158" s="60">
        <f t="shared" si="43"/>
        <v>1357.6285896423772</v>
      </c>
      <c r="O158" s="60">
        <f t="shared" si="44"/>
        <v>0</v>
      </c>
      <c r="P158" s="60">
        <f t="shared" si="37"/>
        <v>0</v>
      </c>
    </row>
    <row r="159" spans="1:16" x14ac:dyDescent="0.25">
      <c r="A159">
        <v>157</v>
      </c>
      <c r="B159" s="60">
        <f t="shared" si="40"/>
        <v>15.394490186381097</v>
      </c>
      <c r="C159" s="62">
        <f t="shared" si="41"/>
        <v>55.42016467097195</v>
      </c>
      <c r="D159">
        <f t="shared" si="32"/>
        <v>2746.0508442976648</v>
      </c>
      <c r="E159">
        <f t="shared" si="45"/>
        <v>60</v>
      </c>
      <c r="F159">
        <f t="shared" si="45"/>
        <v>2</v>
      </c>
      <c r="G159" s="60">
        <f t="shared" si="38"/>
        <v>76.504237100181399</v>
      </c>
      <c r="H159">
        <v>39</v>
      </c>
      <c r="I159" s="60">
        <f t="shared" si="39"/>
        <v>1.9616471051328563</v>
      </c>
      <c r="J159" s="61">
        <f t="shared" si="33"/>
        <v>1357.6285896423781</v>
      </c>
      <c r="K159">
        <f t="shared" si="34"/>
        <v>29.400000000000002</v>
      </c>
      <c r="L159" s="60">
        <f t="shared" si="35"/>
        <v>55.171357208766423</v>
      </c>
      <c r="M159">
        <f t="shared" si="36"/>
        <v>1273.0572324336108</v>
      </c>
      <c r="N159" s="60">
        <f t="shared" si="43"/>
        <v>1357.6285896423772</v>
      </c>
      <c r="O159" s="60">
        <f t="shared" si="44"/>
        <v>0</v>
      </c>
      <c r="P159" s="60">
        <f t="shared" si="37"/>
        <v>0</v>
      </c>
    </row>
    <row r="160" spans="1:16" x14ac:dyDescent="0.25">
      <c r="A160">
        <v>158</v>
      </c>
      <c r="B160" s="60">
        <f t="shared" si="40"/>
        <v>15.394490186381097</v>
      </c>
      <c r="C160" s="62">
        <f t="shared" si="41"/>
        <v>55.42016467097195</v>
      </c>
      <c r="D160">
        <f t="shared" si="32"/>
        <v>2746.0508442976648</v>
      </c>
      <c r="E160">
        <f t="shared" si="45"/>
        <v>60</v>
      </c>
      <c r="F160">
        <f t="shared" si="45"/>
        <v>2</v>
      </c>
      <c r="G160" s="60">
        <f t="shared" si="38"/>
        <v>76.504237100181399</v>
      </c>
      <c r="H160">
        <v>40</v>
      </c>
      <c r="I160" s="60">
        <f t="shared" si="39"/>
        <v>1.9126059275045351</v>
      </c>
      <c r="J160" s="61">
        <f t="shared" si="33"/>
        <v>1357.6285896423781</v>
      </c>
      <c r="K160">
        <f t="shared" si="34"/>
        <v>29.400000000000002</v>
      </c>
      <c r="L160" s="60">
        <f t="shared" si="35"/>
        <v>55.171357208766423</v>
      </c>
      <c r="M160">
        <f t="shared" si="36"/>
        <v>1273.0572324336108</v>
      </c>
      <c r="N160" s="60">
        <f t="shared" si="43"/>
        <v>1357.6285896423772</v>
      </c>
      <c r="O160" s="60">
        <f t="shared" si="44"/>
        <v>0</v>
      </c>
      <c r="P160" s="60">
        <f t="shared" si="37"/>
        <v>0</v>
      </c>
    </row>
    <row r="161" spans="1:16" x14ac:dyDescent="0.25">
      <c r="A161">
        <v>159</v>
      </c>
      <c r="B161" s="60">
        <f t="shared" si="40"/>
        <v>15.394490186381097</v>
      </c>
      <c r="C161" s="62">
        <f t="shared" si="41"/>
        <v>55.42016467097195</v>
      </c>
      <c r="D161">
        <f t="shared" si="32"/>
        <v>2746.0508442976648</v>
      </c>
      <c r="E161">
        <f t="shared" si="45"/>
        <v>60</v>
      </c>
      <c r="F161">
        <f t="shared" si="45"/>
        <v>2</v>
      </c>
      <c r="G161" s="60">
        <f t="shared" si="38"/>
        <v>76.504237100181399</v>
      </c>
      <c r="H161">
        <v>41</v>
      </c>
      <c r="I161" s="60">
        <f t="shared" si="39"/>
        <v>1.8659570024434489</v>
      </c>
      <c r="J161" s="61">
        <f t="shared" si="33"/>
        <v>1357.6285896423781</v>
      </c>
      <c r="K161">
        <f t="shared" si="34"/>
        <v>29.400000000000002</v>
      </c>
      <c r="L161" s="60">
        <f t="shared" si="35"/>
        <v>55.171357208766423</v>
      </c>
      <c r="M161">
        <f t="shared" si="36"/>
        <v>1273.0572324336108</v>
      </c>
      <c r="N161" s="60">
        <f t="shared" si="43"/>
        <v>1357.6285896423772</v>
      </c>
      <c r="O161" s="60">
        <f t="shared" si="44"/>
        <v>0</v>
      </c>
      <c r="P161" s="60">
        <f t="shared" si="37"/>
        <v>0</v>
      </c>
    </row>
    <row r="162" spans="1:16" x14ac:dyDescent="0.25">
      <c r="A162">
        <v>160</v>
      </c>
      <c r="B162" s="60">
        <f t="shared" si="40"/>
        <v>15.394490186381097</v>
      </c>
      <c r="C162" s="62">
        <f t="shared" si="41"/>
        <v>55.42016467097195</v>
      </c>
      <c r="D162">
        <f t="shared" si="32"/>
        <v>2746.0508442976648</v>
      </c>
      <c r="E162">
        <f t="shared" si="45"/>
        <v>60</v>
      </c>
      <c r="F162">
        <f t="shared" si="45"/>
        <v>2</v>
      </c>
      <c r="G162" s="60">
        <f t="shared" si="38"/>
        <v>76.504237100181399</v>
      </c>
      <c r="H162">
        <v>42</v>
      </c>
      <c r="I162" s="60">
        <f t="shared" si="39"/>
        <v>1.8215294547662237</v>
      </c>
      <c r="J162" s="61">
        <f t="shared" si="33"/>
        <v>1357.6285896423781</v>
      </c>
      <c r="K162">
        <f t="shared" si="34"/>
        <v>29.400000000000002</v>
      </c>
      <c r="L162" s="60">
        <f t="shared" si="35"/>
        <v>55.171357208766423</v>
      </c>
      <c r="M162">
        <f t="shared" si="36"/>
        <v>1273.0572324336108</v>
      </c>
      <c r="N162" s="60">
        <f t="shared" si="43"/>
        <v>1357.6285896423772</v>
      </c>
      <c r="O162" s="60">
        <f t="shared" si="44"/>
        <v>0</v>
      </c>
      <c r="P162" s="60">
        <f t="shared" si="37"/>
        <v>0</v>
      </c>
    </row>
    <row r="163" spans="1:16" x14ac:dyDescent="0.25">
      <c r="A163">
        <v>161</v>
      </c>
      <c r="B163" s="60">
        <f t="shared" si="40"/>
        <v>15.394490186381097</v>
      </c>
      <c r="C163" s="62">
        <f t="shared" si="41"/>
        <v>55.42016467097195</v>
      </c>
      <c r="D163">
        <f t="shared" si="32"/>
        <v>2746.0508442976648</v>
      </c>
      <c r="E163">
        <f t="shared" si="45"/>
        <v>60</v>
      </c>
      <c r="F163">
        <f t="shared" si="45"/>
        <v>2</v>
      </c>
      <c r="G163" s="60">
        <f t="shared" si="38"/>
        <v>76.504237100181399</v>
      </c>
      <c r="H163">
        <v>43</v>
      </c>
      <c r="I163" s="60">
        <f t="shared" si="39"/>
        <v>1.7791683046553814</v>
      </c>
      <c r="J163" s="61">
        <f t="shared" si="33"/>
        <v>1357.6285896423781</v>
      </c>
      <c r="K163">
        <f t="shared" si="34"/>
        <v>29.400000000000002</v>
      </c>
      <c r="L163" s="60">
        <f t="shared" si="35"/>
        <v>55.171357208766423</v>
      </c>
      <c r="M163">
        <f t="shared" si="36"/>
        <v>1273.0572324336108</v>
      </c>
      <c r="N163" s="60">
        <f t="shared" si="43"/>
        <v>1357.6285896423772</v>
      </c>
      <c r="O163" s="60">
        <f t="shared" si="44"/>
        <v>0</v>
      </c>
      <c r="P163" s="60">
        <f t="shared" si="37"/>
        <v>0</v>
      </c>
    </row>
    <row r="164" spans="1:16" x14ac:dyDescent="0.25">
      <c r="A164">
        <v>162</v>
      </c>
      <c r="B164" s="60">
        <f t="shared" si="40"/>
        <v>15.394490186381097</v>
      </c>
      <c r="C164" s="62">
        <f t="shared" si="41"/>
        <v>55.42016467097195</v>
      </c>
      <c r="D164">
        <f t="shared" si="32"/>
        <v>2746.0508442976648</v>
      </c>
      <c r="E164">
        <f t="shared" ref="E164:F179" si="46">E163</f>
        <v>60</v>
      </c>
      <c r="F164">
        <f t="shared" si="46"/>
        <v>2</v>
      </c>
      <c r="G164" s="60">
        <f t="shared" si="38"/>
        <v>76.504237100181399</v>
      </c>
      <c r="H164">
        <v>44</v>
      </c>
      <c r="I164" s="60">
        <f t="shared" si="39"/>
        <v>1.7387326613677592</v>
      </c>
      <c r="J164" s="61">
        <f t="shared" si="33"/>
        <v>1357.6285896423781</v>
      </c>
      <c r="K164">
        <f t="shared" si="34"/>
        <v>29.400000000000002</v>
      </c>
      <c r="L164" s="60">
        <f t="shared" si="35"/>
        <v>55.171357208766423</v>
      </c>
      <c r="M164">
        <f t="shared" si="36"/>
        <v>1273.0572324336108</v>
      </c>
      <c r="N164" s="60">
        <f t="shared" si="43"/>
        <v>1357.6285896423772</v>
      </c>
      <c r="O164" s="60">
        <f t="shared" si="44"/>
        <v>0</v>
      </c>
      <c r="P164" s="60">
        <f t="shared" si="37"/>
        <v>0</v>
      </c>
    </row>
    <row r="165" spans="1:16" x14ac:dyDescent="0.25">
      <c r="A165">
        <v>163</v>
      </c>
      <c r="B165" s="60">
        <f t="shared" si="40"/>
        <v>15.394490186381097</v>
      </c>
      <c r="C165" s="62">
        <f t="shared" si="41"/>
        <v>55.42016467097195</v>
      </c>
      <c r="D165">
        <f t="shared" si="32"/>
        <v>2746.0508442976648</v>
      </c>
      <c r="E165">
        <f t="shared" si="46"/>
        <v>60</v>
      </c>
      <c r="F165">
        <f t="shared" si="46"/>
        <v>2</v>
      </c>
      <c r="G165" s="60">
        <f t="shared" si="38"/>
        <v>76.504237100181399</v>
      </c>
      <c r="H165">
        <v>45</v>
      </c>
      <c r="I165" s="60">
        <f t="shared" si="39"/>
        <v>1.7000941577818089</v>
      </c>
      <c r="J165" s="61">
        <f t="shared" si="33"/>
        <v>1357.6285896423781</v>
      </c>
      <c r="K165">
        <f t="shared" si="34"/>
        <v>29.400000000000002</v>
      </c>
      <c r="L165" s="60">
        <f t="shared" si="35"/>
        <v>55.171357208766423</v>
      </c>
      <c r="M165">
        <f t="shared" si="36"/>
        <v>1273.0572324336108</v>
      </c>
      <c r="N165" s="60">
        <f t="shared" si="43"/>
        <v>1357.6285896423772</v>
      </c>
      <c r="O165" s="60">
        <f t="shared" si="44"/>
        <v>0</v>
      </c>
      <c r="P165" s="60">
        <f t="shared" si="37"/>
        <v>0</v>
      </c>
    </row>
    <row r="166" spans="1:16" x14ac:dyDescent="0.25">
      <c r="A166">
        <v>164</v>
      </c>
      <c r="B166" s="60">
        <f t="shared" si="40"/>
        <v>15.394490186381097</v>
      </c>
      <c r="C166" s="62">
        <f t="shared" si="41"/>
        <v>55.42016467097195</v>
      </c>
      <c r="D166">
        <f t="shared" si="32"/>
        <v>2746.0508442976648</v>
      </c>
      <c r="E166">
        <f t="shared" si="46"/>
        <v>60</v>
      </c>
      <c r="F166">
        <f t="shared" si="46"/>
        <v>2</v>
      </c>
      <c r="G166" s="60">
        <f t="shared" si="38"/>
        <v>76.504237100181399</v>
      </c>
      <c r="H166">
        <v>46</v>
      </c>
      <c r="I166" s="60">
        <f t="shared" si="39"/>
        <v>1.6631355891343782</v>
      </c>
      <c r="J166" s="61">
        <f t="shared" si="33"/>
        <v>1357.6285896423781</v>
      </c>
      <c r="K166">
        <f t="shared" si="34"/>
        <v>29.400000000000002</v>
      </c>
      <c r="L166" s="60">
        <f t="shared" si="35"/>
        <v>55.171357208766423</v>
      </c>
      <c r="M166">
        <f t="shared" si="36"/>
        <v>1273.0572324336108</v>
      </c>
      <c r="N166" s="60">
        <f t="shared" si="43"/>
        <v>1357.6285896423772</v>
      </c>
      <c r="O166" s="60">
        <f t="shared" si="44"/>
        <v>0</v>
      </c>
      <c r="P166" s="60">
        <f t="shared" si="37"/>
        <v>0</v>
      </c>
    </row>
    <row r="167" spans="1:16" x14ac:dyDescent="0.25">
      <c r="A167">
        <v>165</v>
      </c>
      <c r="B167" s="60">
        <f t="shared" si="40"/>
        <v>15.394490186381097</v>
      </c>
      <c r="C167" s="62">
        <f t="shared" si="41"/>
        <v>55.42016467097195</v>
      </c>
      <c r="D167">
        <f t="shared" si="32"/>
        <v>2746.0508442976648</v>
      </c>
      <c r="E167">
        <f t="shared" si="46"/>
        <v>60</v>
      </c>
      <c r="F167">
        <f t="shared" si="46"/>
        <v>2</v>
      </c>
      <c r="G167" s="60">
        <f t="shared" si="38"/>
        <v>76.504237100181399</v>
      </c>
      <c r="H167">
        <v>47</v>
      </c>
      <c r="I167" s="60">
        <f t="shared" si="39"/>
        <v>1.6277497255357745</v>
      </c>
      <c r="J167" s="61">
        <f t="shared" si="33"/>
        <v>1357.6285896423781</v>
      </c>
      <c r="K167">
        <f t="shared" si="34"/>
        <v>29.400000000000002</v>
      </c>
      <c r="L167" s="60">
        <f t="shared" si="35"/>
        <v>55.171357208766423</v>
      </c>
      <c r="M167">
        <f t="shared" si="36"/>
        <v>1273.0572324336108</v>
      </c>
      <c r="N167" s="60">
        <f t="shared" si="43"/>
        <v>1357.6285896423772</v>
      </c>
      <c r="O167" s="60">
        <f t="shared" si="44"/>
        <v>0</v>
      </c>
      <c r="P167" s="60">
        <f t="shared" si="37"/>
        <v>0</v>
      </c>
    </row>
    <row r="168" spans="1:16" x14ac:dyDescent="0.25">
      <c r="A168">
        <v>166</v>
      </c>
      <c r="B168" s="60">
        <f t="shared" si="40"/>
        <v>15.394490186381097</v>
      </c>
      <c r="C168" s="62">
        <f t="shared" si="41"/>
        <v>55.42016467097195</v>
      </c>
      <c r="D168">
        <f t="shared" si="32"/>
        <v>2746.0508442976648</v>
      </c>
      <c r="E168">
        <f t="shared" si="46"/>
        <v>60</v>
      </c>
      <c r="F168">
        <f t="shared" si="46"/>
        <v>2</v>
      </c>
      <c r="G168" s="60">
        <f t="shared" si="38"/>
        <v>76.504237100181399</v>
      </c>
      <c r="H168">
        <v>48</v>
      </c>
      <c r="I168" s="60">
        <f t="shared" si="39"/>
        <v>1.5938382729204459</v>
      </c>
      <c r="J168" s="61">
        <f t="shared" si="33"/>
        <v>1357.6285896423781</v>
      </c>
      <c r="K168">
        <f t="shared" si="34"/>
        <v>29.400000000000002</v>
      </c>
      <c r="L168" s="60">
        <f t="shared" si="35"/>
        <v>55.171357208766423</v>
      </c>
      <c r="M168">
        <f t="shared" si="36"/>
        <v>1273.0572324336108</v>
      </c>
      <c r="N168" s="60">
        <f t="shared" si="43"/>
        <v>1357.6285896423772</v>
      </c>
      <c r="O168" s="60">
        <f t="shared" si="44"/>
        <v>0</v>
      </c>
      <c r="P168" s="60">
        <f t="shared" si="37"/>
        <v>0</v>
      </c>
    </row>
    <row r="169" spans="1:16" x14ac:dyDescent="0.25">
      <c r="A169">
        <v>167</v>
      </c>
      <c r="B169" s="60">
        <f t="shared" si="40"/>
        <v>15.394490186381097</v>
      </c>
      <c r="C169" s="62">
        <f t="shared" si="41"/>
        <v>55.42016467097195</v>
      </c>
      <c r="D169">
        <f t="shared" si="32"/>
        <v>2746.0508442976648</v>
      </c>
      <c r="E169">
        <f t="shared" si="46"/>
        <v>60</v>
      </c>
      <c r="F169">
        <f t="shared" si="46"/>
        <v>2</v>
      </c>
      <c r="G169" s="60">
        <f t="shared" si="38"/>
        <v>76.504237100181399</v>
      </c>
      <c r="H169">
        <v>49</v>
      </c>
      <c r="I169" s="60">
        <f t="shared" si="39"/>
        <v>1.5613109612281919</v>
      </c>
      <c r="J169" s="61">
        <f t="shared" si="33"/>
        <v>1357.6285896423781</v>
      </c>
      <c r="K169">
        <f t="shared" si="34"/>
        <v>29.400000000000002</v>
      </c>
      <c r="L169" s="60">
        <f t="shared" si="35"/>
        <v>55.171357208766423</v>
      </c>
      <c r="M169">
        <f t="shared" si="36"/>
        <v>1273.0572324336108</v>
      </c>
      <c r="N169" s="60">
        <f t="shared" si="43"/>
        <v>1357.6285896423772</v>
      </c>
      <c r="O169" s="60">
        <f t="shared" si="44"/>
        <v>0</v>
      </c>
      <c r="P169" s="60">
        <f t="shared" si="37"/>
        <v>0</v>
      </c>
    </row>
    <row r="170" spans="1:16" x14ac:dyDescent="0.25">
      <c r="A170">
        <v>168</v>
      </c>
      <c r="B170" s="60">
        <f t="shared" si="40"/>
        <v>15.394490186381097</v>
      </c>
      <c r="C170" s="62">
        <f t="shared" si="41"/>
        <v>55.42016467097195</v>
      </c>
      <c r="D170">
        <f t="shared" si="32"/>
        <v>2746.0508442976648</v>
      </c>
      <c r="E170">
        <f t="shared" si="46"/>
        <v>60</v>
      </c>
      <c r="F170">
        <f t="shared" si="46"/>
        <v>2</v>
      </c>
      <c r="G170" s="60">
        <f t="shared" si="38"/>
        <v>76.504237100181399</v>
      </c>
      <c r="H170">
        <v>50</v>
      </c>
      <c r="I170" s="60">
        <f t="shared" si="39"/>
        <v>1.5300847420036279</v>
      </c>
      <c r="J170" s="61">
        <f t="shared" si="33"/>
        <v>1357.6285896423781</v>
      </c>
      <c r="K170">
        <f t="shared" si="34"/>
        <v>29.400000000000002</v>
      </c>
      <c r="L170" s="60">
        <f t="shared" si="35"/>
        <v>55.171357208766423</v>
      </c>
      <c r="M170">
        <f t="shared" si="36"/>
        <v>1273.0572324336108</v>
      </c>
      <c r="N170" s="60">
        <f t="shared" si="43"/>
        <v>1357.6285896423772</v>
      </c>
      <c r="O170" s="60">
        <f t="shared" si="44"/>
        <v>0</v>
      </c>
      <c r="P170" s="60">
        <f t="shared" si="37"/>
        <v>0</v>
      </c>
    </row>
    <row r="171" spans="1:16" x14ac:dyDescent="0.25">
      <c r="A171">
        <v>169</v>
      </c>
      <c r="B171" s="60">
        <f t="shared" si="40"/>
        <v>15.394490186381097</v>
      </c>
      <c r="C171" s="62">
        <f t="shared" si="41"/>
        <v>55.42016467097195</v>
      </c>
      <c r="D171">
        <f t="shared" si="32"/>
        <v>2746.0508442976648</v>
      </c>
      <c r="E171">
        <f t="shared" si="46"/>
        <v>60</v>
      </c>
      <c r="F171">
        <f t="shared" si="46"/>
        <v>2</v>
      </c>
      <c r="G171" s="60">
        <f t="shared" si="38"/>
        <v>76.504237100181399</v>
      </c>
      <c r="H171">
        <v>51</v>
      </c>
      <c r="I171" s="60">
        <f t="shared" si="39"/>
        <v>1.5000830803957137</v>
      </c>
      <c r="J171" s="61">
        <f t="shared" si="33"/>
        <v>1357.6285896423781</v>
      </c>
      <c r="K171">
        <f t="shared" si="34"/>
        <v>29.400000000000002</v>
      </c>
      <c r="L171" s="60">
        <f t="shared" si="35"/>
        <v>55.171357208766423</v>
      </c>
      <c r="M171">
        <f t="shared" si="36"/>
        <v>1273.0572324336108</v>
      </c>
      <c r="N171" s="60">
        <f t="shared" si="43"/>
        <v>1357.6285896423772</v>
      </c>
      <c r="O171" s="60">
        <f t="shared" si="44"/>
        <v>0</v>
      </c>
      <c r="P171" s="60">
        <f t="shared" si="37"/>
        <v>0</v>
      </c>
    </row>
    <row r="172" spans="1:16" x14ac:dyDescent="0.25">
      <c r="A172">
        <v>170</v>
      </c>
      <c r="B172" s="60">
        <f t="shared" si="40"/>
        <v>15.394490186381097</v>
      </c>
      <c r="C172" s="62">
        <f t="shared" si="41"/>
        <v>55.42016467097195</v>
      </c>
      <c r="D172">
        <f t="shared" si="32"/>
        <v>2746.0508442976648</v>
      </c>
      <c r="E172">
        <f t="shared" si="46"/>
        <v>60</v>
      </c>
      <c r="F172">
        <f t="shared" si="46"/>
        <v>2</v>
      </c>
      <c r="G172" s="60">
        <f t="shared" si="38"/>
        <v>76.504237100181399</v>
      </c>
      <c r="H172">
        <v>52</v>
      </c>
      <c r="I172" s="60">
        <f t="shared" si="39"/>
        <v>1.4712353288496423</v>
      </c>
      <c r="J172" s="61">
        <f t="shared" si="33"/>
        <v>1357.6285896423781</v>
      </c>
      <c r="K172">
        <f t="shared" si="34"/>
        <v>29.400000000000002</v>
      </c>
      <c r="L172" s="60">
        <f t="shared" si="35"/>
        <v>55.171357208766423</v>
      </c>
      <c r="M172">
        <f t="shared" si="36"/>
        <v>1273.0572324336108</v>
      </c>
      <c r="N172" s="60">
        <f t="shared" si="43"/>
        <v>1357.6285896423772</v>
      </c>
      <c r="O172" s="60">
        <f t="shared" si="44"/>
        <v>0</v>
      </c>
      <c r="P172" s="60">
        <f t="shared" si="37"/>
        <v>0</v>
      </c>
    </row>
    <row r="173" spans="1:16" x14ac:dyDescent="0.25">
      <c r="A173">
        <v>171</v>
      </c>
      <c r="B173" s="60">
        <f t="shared" si="40"/>
        <v>15.394490186381097</v>
      </c>
      <c r="C173" s="62">
        <f t="shared" si="41"/>
        <v>55.42016467097195</v>
      </c>
      <c r="D173">
        <f t="shared" si="32"/>
        <v>2746.0508442976648</v>
      </c>
      <c r="E173">
        <f t="shared" si="46"/>
        <v>60</v>
      </c>
      <c r="F173">
        <f t="shared" si="46"/>
        <v>2</v>
      </c>
      <c r="G173" s="60">
        <f t="shared" si="38"/>
        <v>76.504237100181399</v>
      </c>
      <c r="H173">
        <v>53</v>
      </c>
      <c r="I173" s="60">
        <f t="shared" si="39"/>
        <v>1.4434761717015359</v>
      </c>
      <c r="J173" s="61">
        <f t="shared" si="33"/>
        <v>1357.6285896423781</v>
      </c>
      <c r="K173">
        <f t="shared" si="34"/>
        <v>29.400000000000002</v>
      </c>
      <c r="L173" s="60">
        <f t="shared" si="35"/>
        <v>55.171357208766423</v>
      </c>
      <c r="M173">
        <f t="shared" si="36"/>
        <v>1273.0572324336108</v>
      </c>
      <c r="N173" s="60">
        <f t="shared" si="43"/>
        <v>1357.6285896423772</v>
      </c>
      <c r="O173" s="60">
        <f t="shared" si="44"/>
        <v>0</v>
      </c>
      <c r="P173" s="60">
        <f t="shared" si="37"/>
        <v>0</v>
      </c>
    </row>
    <row r="174" spans="1:16" x14ac:dyDescent="0.25">
      <c r="A174">
        <v>172</v>
      </c>
      <c r="B174" s="60">
        <f t="shared" si="40"/>
        <v>15.394490186381097</v>
      </c>
      <c r="C174" s="62">
        <f t="shared" si="41"/>
        <v>55.42016467097195</v>
      </c>
      <c r="D174">
        <f t="shared" si="32"/>
        <v>2746.0508442976648</v>
      </c>
      <c r="E174">
        <f t="shared" si="46"/>
        <v>60</v>
      </c>
      <c r="F174">
        <f t="shared" si="46"/>
        <v>2</v>
      </c>
      <c r="G174" s="60">
        <f t="shared" si="38"/>
        <v>76.504237100181399</v>
      </c>
      <c r="H174">
        <v>54</v>
      </c>
      <c r="I174" s="60">
        <f t="shared" si="39"/>
        <v>1.4167451314848407</v>
      </c>
      <c r="J174" s="61">
        <f t="shared" si="33"/>
        <v>1357.6285896423781</v>
      </c>
      <c r="K174">
        <f t="shared" si="34"/>
        <v>29.400000000000002</v>
      </c>
      <c r="L174" s="60">
        <f t="shared" si="35"/>
        <v>55.171357208766423</v>
      </c>
      <c r="M174">
        <f t="shared" si="36"/>
        <v>1273.0572324336108</v>
      </c>
      <c r="N174" s="60">
        <f t="shared" si="43"/>
        <v>1357.6285896423772</v>
      </c>
      <c r="O174" s="60">
        <f t="shared" si="44"/>
        <v>0</v>
      </c>
      <c r="P174" s="60">
        <f t="shared" si="37"/>
        <v>0</v>
      </c>
    </row>
    <row r="175" spans="1:16" x14ac:dyDescent="0.25">
      <c r="A175">
        <v>173</v>
      </c>
      <c r="B175" s="60">
        <f t="shared" si="40"/>
        <v>15.394490186381097</v>
      </c>
      <c r="C175" s="62">
        <f t="shared" si="41"/>
        <v>55.42016467097195</v>
      </c>
      <c r="D175">
        <f t="shared" si="32"/>
        <v>2746.0508442976648</v>
      </c>
      <c r="E175">
        <f t="shared" si="46"/>
        <v>60</v>
      </c>
      <c r="F175">
        <f t="shared" si="46"/>
        <v>2</v>
      </c>
      <c r="G175" s="60">
        <f t="shared" si="38"/>
        <v>76.504237100181399</v>
      </c>
      <c r="H175">
        <v>55</v>
      </c>
      <c r="I175" s="60">
        <f t="shared" si="39"/>
        <v>1.3909861290942072</v>
      </c>
      <c r="J175" s="61">
        <f t="shared" si="33"/>
        <v>1357.6285896423781</v>
      </c>
      <c r="K175">
        <f t="shared" si="34"/>
        <v>29.400000000000002</v>
      </c>
      <c r="L175" s="60">
        <f t="shared" si="35"/>
        <v>55.171357208766423</v>
      </c>
      <c r="M175">
        <f t="shared" si="36"/>
        <v>1273.0572324336108</v>
      </c>
      <c r="N175" s="60">
        <f t="shared" si="43"/>
        <v>1357.6285896423772</v>
      </c>
      <c r="O175" s="60">
        <f t="shared" si="44"/>
        <v>0</v>
      </c>
      <c r="P175" s="60">
        <f t="shared" si="37"/>
        <v>0</v>
      </c>
    </row>
    <row r="176" spans="1:16" x14ac:dyDescent="0.25">
      <c r="A176">
        <v>174</v>
      </c>
      <c r="B176" s="60">
        <f t="shared" si="40"/>
        <v>15.394490186381097</v>
      </c>
      <c r="C176" s="62">
        <f t="shared" si="41"/>
        <v>55.42016467097195</v>
      </c>
      <c r="D176">
        <f t="shared" si="32"/>
        <v>2746.0508442976648</v>
      </c>
      <c r="E176">
        <f t="shared" si="46"/>
        <v>60</v>
      </c>
      <c r="F176">
        <f t="shared" si="46"/>
        <v>2</v>
      </c>
      <c r="G176" s="60">
        <f t="shared" si="38"/>
        <v>76.504237100181399</v>
      </c>
      <c r="H176">
        <v>56</v>
      </c>
      <c r="I176" s="60">
        <f t="shared" si="39"/>
        <v>1.3661470910746678</v>
      </c>
      <c r="J176" s="61">
        <f t="shared" si="33"/>
        <v>1357.6285896423781</v>
      </c>
      <c r="K176">
        <f t="shared" si="34"/>
        <v>29.400000000000002</v>
      </c>
      <c r="L176" s="60">
        <f t="shared" si="35"/>
        <v>55.171357208766423</v>
      </c>
      <c r="M176">
        <f t="shared" si="36"/>
        <v>1273.0572324336108</v>
      </c>
      <c r="N176" s="60">
        <f t="shared" si="43"/>
        <v>1357.6285896423772</v>
      </c>
      <c r="O176" s="60">
        <f t="shared" si="44"/>
        <v>0</v>
      </c>
      <c r="P176" s="60">
        <f t="shared" si="37"/>
        <v>0</v>
      </c>
    </row>
    <row r="177" spans="1:16" x14ac:dyDescent="0.25">
      <c r="A177">
        <v>175</v>
      </c>
      <c r="B177" s="60">
        <f t="shared" si="40"/>
        <v>15.394490186381097</v>
      </c>
      <c r="C177" s="62">
        <f t="shared" si="41"/>
        <v>55.42016467097195</v>
      </c>
      <c r="D177">
        <f t="shared" si="32"/>
        <v>2746.0508442976648</v>
      </c>
      <c r="E177">
        <f t="shared" si="46"/>
        <v>60</v>
      </c>
      <c r="F177">
        <f t="shared" si="46"/>
        <v>2</v>
      </c>
      <c r="G177" s="60">
        <f t="shared" si="38"/>
        <v>76.504237100181399</v>
      </c>
      <c r="H177">
        <v>57</v>
      </c>
      <c r="I177" s="60">
        <f t="shared" si="39"/>
        <v>1.3421795982487965</v>
      </c>
      <c r="J177" s="61">
        <f t="shared" si="33"/>
        <v>1357.6285896423781</v>
      </c>
      <c r="K177">
        <f t="shared" si="34"/>
        <v>29.400000000000002</v>
      </c>
      <c r="L177" s="60">
        <f t="shared" si="35"/>
        <v>55.171357208766423</v>
      </c>
      <c r="M177">
        <f t="shared" si="36"/>
        <v>1273.0572324336108</v>
      </c>
      <c r="N177" s="60">
        <f t="shared" si="43"/>
        <v>1357.6285896423772</v>
      </c>
      <c r="O177" s="60">
        <f t="shared" si="44"/>
        <v>0</v>
      </c>
      <c r="P177" s="60">
        <f t="shared" si="37"/>
        <v>0</v>
      </c>
    </row>
    <row r="178" spans="1:16" x14ac:dyDescent="0.25">
      <c r="A178">
        <v>176</v>
      </c>
      <c r="B178" s="60">
        <f t="shared" si="40"/>
        <v>15.394490186381097</v>
      </c>
      <c r="C178" s="62">
        <f t="shared" si="41"/>
        <v>55.42016467097195</v>
      </c>
      <c r="D178">
        <f t="shared" si="32"/>
        <v>2746.0508442976648</v>
      </c>
      <c r="E178">
        <f t="shared" si="46"/>
        <v>60</v>
      </c>
      <c r="F178">
        <f t="shared" si="46"/>
        <v>2</v>
      </c>
      <c r="G178" s="60">
        <f t="shared" si="38"/>
        <v>76.504237100181399</v>
      </c>
      <c r="H178">
        <v>58</v>
      </c>
      <c r="I178" s="60">
        <f t="shared" si="39"/>
        <v>1.3190385706927827</v>
      </c>
      <c r="J178" s="61">
        <f t="shared" si="33"/>
        <v>1357.6285896423781</v>
      </c>
      <c r="K178">
        <f t="shared" si="34"/>
        <v>29.400000000000002</v>
      </c>
      <c r="L178" s="60">
        <f t="shared" si="35"/>
        <v>55.171357208766423</v>
      </c>
      <c r="M178">
        <f t="shared" si="36"/>
        <v>1273.0572324336108</v>
      </c>
      <c r="N178" s="60">
        <f t="shared" si="43"/>
        <v>1357.6285896423772</v>
      </c>
      <c r="O178" s="60">
        <f t="shared" si="44"/>
        <v>0</v>
      </c>
      <c r="P178" s="60">
        <f t="shared" si="37"/>
        <v>0</v>
      </c>
    </row>
    <row r="179" spans="1:16" x14ac:dyDescent="0.25">
      <c r="A179">
        <v>177</v>
      </c>
      <c r="B179" s="60">
        <f t="shared" si="40"/>
        <v>15.394490186381097</v>
      </c>
      <c r="C179" s="62">
        <f t="shared" si="41"/>
        <v>55.42016467097195</v>
      </c>
      <c r="D179">
        <f t="shared" si="32"/>
        <v>2746.0508442976648</v>
      </c>
      <c r="E179">
        <f t="shared" si="46"/>
        <v>60</v>
      </c>
      <c r="F179">
        <f t="shared" si="46"/>
        <v>2</v>
      </c>
      <c r="G179" s="60">
        <f t="shared" si="38"/>
        <v>76.504237100181399</v>
      </c>
      <c r="H179">
        <v>59</v>
      </c>
      <c r="I179" s="60">
        <f t="shared" si="39"/>
        <v>1.2966819847488373</v>
      </c>
      <c r="J179" s="61">
        <f t="shared" si="33"/>
        <v>1357.6285896423781</v>
      </c>
      <c r="K179">
        <f t="shared" si="34"/>
        <v>29.400000000000002</v>
      </c>
      <c r="L179" s="60">
        <f t="shared" si="35"/>
        <v>55.171357208766423</v>
      </c>
      <c r="M179">
        <f t="shared" si="36"/>
        <v>1273.0572324336108</v>
      </c>
      <c r="N179" s="60">
        <f t="shared" si="43"/>
        <v>1357.6285896423772</v>
      </c>
      <c r="O179" s="60">
        <f t="shared" si="44"/>
        <v>0</v>
      </c>
      <c r="P179" s="60">
        <f t="shared" si="37"/>
        <v>0</v>
      </c>
    </row>
    <row r="180" spans="1:16" x14ac:dyDescent="0.25">
      <c r="A180">
        <v>178</v>
      </c>
      <c r="B180" s="60">
        <f t="shared" si="40"/>
        <v>15.394490186381097</v>
      </c>
      <c r="C180" s="62">
        <f t="shared" si="41"/>
        <v>55.42016467097195</v>
      </c>
      <c r="D180">
        <f t="shared" si="32"/>
        <v>2746.0508442976648</v>
      </c>
      <c r="E180">
        <f t="shared" ref="E180:F182" si="47">E179</f>
        <v>60</v>
      </c>
      <c r="F180">
        <f t="shared" si="47"/>
        <v>2</v>
      </c>
      <c r="G180" s="60">
        <f t="shared" si="38"/>
        <v>76.504237100181399</v>
      </c>
      <c r="H180">
        <v>60</v>
      </c>
      <c r="I180" s="60">
        <f t="shared" si="39"/>
        <v>1.2750706183363567</v>
      </c>
      <c r="J180" s="61">
        <f t="shared" si="33"/>
        <v>1357.6285896423781</v>
      </c>
      <c r="K180">
        <f t="shared" si="34"/>
        <v>29.400000000000002</v>
      </c>
      <c r="L180" s="60">
        <f t="shared" si="35"/>
        <v>55.171357208766423</v>
      </c>
      <c r="M180">
        <f t="shared" si="36"/>
        <v>1273.0572324336108</v>
      </c>
      <c r="N180" s="60">
        <f t="shared" si="43"/>
        <v>1357.6285896423772</v>
      </c>
      <c r="O180" s="60">
        <f t="shared" si="44"/>
        <v>0</v>
      </c>
      <c r="P180" s="60">
        <f t="shared" si="37"/>
        <v>0</v>
      </c>
    </row>
    <row r="181" spans="1:16" x14ac:dyDescent="0.25">
      <c r="A181">
        <v>179</v>
      </c>
      <c r="B181" s="60">
        <f t="shared" si="40"/>
        <v>15.394490186381097</v>
      </c>
      <c r="C181" s="62">
        <f t="shared" si="41"/>
        <v>55.42016467097195</v>
      </c>
      <c r="D181">
        <f t="shared" si="32"/>
        <v>2746.0508442976648</v>
      </c>
      <c r="E181">
        <f t="shared" si="47"/>
        <v>60</v>
      </c>
      <c r="F181">
        <f t="shared" si="47"/>
        <v>2</v>
      </c>
      <c r="G181" s="60">
        <f t="shared" si="38"/>
        <v>76.504237100181399</v>
      </c>
      <c r="H181">
        <v>61</v>
      </c>
      <c r="I181" s="60">
        <f t="shared" si="39"/>
        <v>1.2541678213144491</v>
      </c>
      <c r="J181" s="61">
        <f t="shared" si="33"/>
        <v>1357.6285896423781</v>
      </c>
      <c r="K181">
        <f t="shared" si="34"/>
        <v>29.400000000000002</v>
      </c>
      <c r="L181" s="60">
        <f t="shared" si="35"/>
        <v>55.171357208766423</v>
      </c>
      <c r="M181">
        <f t="shared" si="36"/>
        <v>1273.0572324336108</v>
      </c>
      <c r="N181" s="60">
        <f t="shared" si="43"/>
        <v>1357.6285896423772</v>
      </c>
      <c r="O181" s="60">
        <f t="shared" si="44"/>
        <v>0</v>
      </c>
      <c r="P181" s="60">
        <f t="shared" si="37"/>
        <v>0</v>
      </c>
    </row>
    <row r="182" spans="1:16" x14ac:dyDescent="0.25">
      <c r="A182">
        <v>180</v>
      </c>
      <c r="B182" s="60">
        <f t="shared" si="40"/>
        <v>15.394490186381097</v>
      </c>
      <c r="C182" s="62">
        <f t="shared" si="41"/>
        <v>55.42016467097195</v>
      </c>
      <c r="D182">
        <f t="shared" si="32"/>
        <v>2746.0508442976648</v>
      </c>
      <c r="E182">
        <f t="shared" si="47"/>
        <v>60</v>
      </c>
      <c r="F182">
        <f t="shared" si="47"/>
        <v>2</v>
      </c>
      <c r="G182" s="60">
        <f t="shared" si="38"/>
        <v>76.504237100181399</v>
      </c>
      <c r="H182">
        <v>62</v>
      </c>
      <c r="I182" s="60">
        <f t="shared" si="39"/>
        <v>1.2339393080674419</v>
      </c>
      <c r="J182" s="61">
        <f t="shared" si="33"/>
        <v>1357.6285896423781</v>
      </c>
      <c r="K182">
        <f t="shared" si="34"/>
        <v>29.400000000000002</v>
      </c>
      <c r="L182" s="60">
        <f t="shared" si="35"/>
        <v>55.171357208766423</v>
      </c>
      <c r="M182">
        <f t="shared" si="36"/>
        <v>1273.0572324336108</v>
      </c>
      <c r="N182" s="60">
        <f t="shared" si="43"/>
        <v>1357.6285896423772</v>
      </c>
      <c r="O182" s="60">
        <f t="shared" si="44"/>
        <v>0</v>
      </c>
      <c r="P182" s="60">
        <f t="shared" si="37"/>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A0AEBE9785834E96620E0313180D49" ma:contentTypeVersion="15" ma:contentTypeDescription="Create a new document." ma:contentTypeScope="" ma:versionID="75991372617fbb20f72818829f5e374c">
  <xsd:schema xmlns:xsd="http://www.w3.org/2001/XMLSchema" xmlns:xs="http://www.w3.org/2001/XMLSchema" xmlns:p="http://schemas.microsoft.com/office/2006/metadata/properties" xmlns:ns2="7f207aa5-fc54-40ff-99b6-9f0af420dcf4" xmlns:ns3="c1e4bd82-b0fd-4064-85ac-cfb2c580d44a" targetNamespace="http://schemas.microsoft.com/office/2006/metadata/properties" ma:root="true" ma:fieldsID="69e3a76b85b9ff60908639fdc49cccfc" ns2:_="" ns3:_="">
    <xsd:import namespace="7f207aa5-fc54-40ff-99b6-9f0af420dcf4"/>
    <xsd:import namespace="c1e4bd82-b0fd-4064-85ac-cfb2c580d44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LengthInSeconds" minOccurs="0"/>
                <xsd:element ref="ns2:lcf76f155ced4ddcb4097134ff3c332f" minOccurs="0"/>
                <xsd:element ref="ns3:TaxCatchAll" minOccurs="0"/>
                <xsd:element ref="ns2:MediaServiceSearchProperties"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207aa5-fc54-40ff-99b6-9f0af420dc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d714996-16da-46af-9442-baeb643b89ff"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e4bd82-b0fd-4064-85ac-cfb2c580d44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4944191-2438-4395-a64c-fa11c1131074}" ma:internalName="TaxCatchAll" ma:showField="CatchAllData" ma:web="c1e4bd82-b0fd-4064-85ac-cfb2c580d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1e4bd82-b0fd-4064-85ac-cfb2c580d44a" xsi:nil="true"/>
    <lcf76f155ced4ddcb4097134ff3c332f xmlns="7f207aa5-fc54-40ff-99b6-9f0af420dcf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463ACA-FF41-43D9-8E77-81EC5382D6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207aa5-fc54-40ff-99b6-9f0af420dcf4"/>
    <ds:schemaRef ds:uri="c1e4bd82-b0fd-4064-85ac-cfb2c580d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90FAE7-A2BF-40CF-8C38-BF2CB18C9E0A}">
  <ds:schemaRefs>
    <ds:schemaRef ds:uri="http://schemas.microsoft.com/sharepoint/v3/contenttype/forms"/>
  </ds:schemaRefs>
</ds:datastoreItem>
</file>

<file path=customXml/itemProps3.xml><?xml version="1.0" encoding="utf-8"?>
<ds:datastoreItem xmlns:ds="http://schemas.openxmlformats.org/officeDocument/2006/customXml" ds:itemID="{40E49676-9014-41C1-BF51-CE4E809D3587}">
  <ds:schemaRefs>
    <ds:schemaRef ds:uri="http://schemas.microsoft.com/office/2006/metadata/properties"/>
    <ds:schemaRef ds:uri="http://schemas.microsoft.com/office/infopath/2007/PartnerControls"/>
    <ds:schemaRef ds:uri="c1e4bd82-b0fd-4064-85ac-cfb2c580d44a"/>
    <ds:schemaRef ds:uri="7f207aa5-fc54-40ff-99b6-9f0af420dc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29</vt:i4>
      </vt:variant>
    </vt:vector>
  </HeadingPairs>
  <TitlesOfParts>
    <vt:vector size="32" baseType="lpstr">
      <vt:lpstr>EV Performance Analysis</vt:lpstr>
      <vt:lpstr>m-LEV4000-37Nm-2000W</vt:lpstr>
      <vt:lpstr>VehicleSimulation - LEV6000 (2)</vt:lpstr>
      <vt:lpstr>AccSpeed</vt:lpstr>
      <vt:lpstr>AccTime</vt:lpstr>
      <vt:lpstr>Angle</vt:lpstr>
      <vt:lpstr>Area</vt:lpstr>
      <vt:lpstr>BatteryCrating</vt:lpstr>
      <vt:lpstr>BatteryVoltage</vt:lpstr>
      <vt:lpstr>BatWeight</vt:lpstr>
      <vt:lpstr>Cd</vt:lpstr>
      <vt:lpstr>ConstantCurrent</vt:lpstr>
      <vt:lpstr>ContSpeed</vt:lpstr>
      <vt:lpstr>ContWeight</vt:lpstr>
      <vt:lpstr>Cr</vt:lpstr>
      <vt:lpstr>Density</vt:lpstr>
      <vt:lpstr>DOD</vt:lpstr>
      <vt:lpstr>Fclimb</vt:lpstr>
      <vt:lpstr>Fdragcont</vt:lpstr>
      <vt:lpstr>Fdragslope</vt:lpstr>
      <vt:lpstr>Froll</vt:lpstr>
      <vt:lpstr>GearEfficency</vt:lpstr>
      <vt:lpstr>GearRatio</vt:lpstr>
      <vt:lpstr>Inertia</vt:lpstr>
      <vt:lpstr>KerbWeight</vt:lpstr>
      <vt:lpstr>LoadWeight</vt:lpstr>
      <vt:lpstr>MotorEfficiency</vt:lpstr>
      <vt:lpstr>PeukertCoeff</vt:lpstr>
      <vt:lpstr>Range</vt:lpstr>
      <vt:lpstr>SlopeSpeed</vt:lpstr>
      <vt:lpstr>VehicleWeight</vt:lpstr>
      <vt:lpstr>WheelRadius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karthik Sathianathan</dc:creator>
  <cp:keywords/>
  <dc:description/>
  <cp:lastModifiedBy>Abinesh Abi</cp:lastModifiedBy>
  <cp:revision/>
  <dcterms:created xsi:type="dcterms:W3CDTF">2015-06-05T18:17:20Z</dcterms:created>
  <dcterms:modified xsi:type="dcterms:W3CDTF">2025-10-29T05:33:01Z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0x010100FCA0AEBE9785834E96620E0313180D49</vt:lpwstr>
  </property>
  <property fmtid="{D5CDD505-2E9C-101B-9397-08002B2CF9AE}" pid="3" name="MediaServiceImageTags">
    <vt:lpwstr/>
  </property>
</Properties>
</file>